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ustavofreitas/Downloads/"/>
    </mc:Choice>
  </mc:AlternateContent>
  <xr:revisionPtr revIDLastSave="0" documentId="8_{F500978C-0DD2-764B-8112-0343D444C7B3}" xr6:coauthVersionLast="47" xr6:coauthVersionMax="47" xr10:uidLastSave="{00000000-0000-0000-0000-000000000000}"/>
  <bookViews>
    <workbookView xWindow="0" yWindow="660" windowWidth="29400" windowHeight="17160" activeTab="3" xr2:uid="{00000000-000D-0000-FFFF-FFFF00000000}"/>
  </bookViews>
  <sheets>
    <sheet name="Mineração" sheetId="1" r:id="rId1"/>
    <sheet name="DRE" sheetId="2" r:id="rId2"/>
    <sheet name="Fluxo de Caixa" sheetId="3" r:id="rId3"/>
    <sheet name="Lista de Fornecedores" sheetId="4" r:id="rId4"/>
  </sheets>
  <definedNames>
    <definedName name="_xlfn_IFERR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I61" i="1"/>
  <c r="H61" i="1"/>
  <c r="G61" i="1"/>
  <c r="F61" i="1"/>
  <c r="L61" i="1" s="1"/>
  <c r="I60" i="1"/>
  <c r="H60" i="1"/>
  <c r="G60" i="1"/>
  <c r="F60" i="1"/>
  <c r="L60" i="1" s="1"/>
  <c r="I59" i="1"/>
  <c r="H59" i="1"/>
  <c r="G59" i="1"/>
  <c r="F59" i="1"/>
  <c r="L59" i="1" s="1"/>
  <c r="I58" i="1"/>
  <c r="H58" i="1"/>
  <c r="G58" i="1"/>
  <c r="F58" i="1"/>
  <c r="L58" i="1" s="1"/>
  <c r="I57" i="1"/>
  <c r="H57" i="1"/>
  <c r="G57" i="1"/>
  <c r="F57" i="1"/>
  <c r="L57" i="1" s="1"/>
  <c r="I56" i="1"/>
  <c r="H56" i="1"/>
  <c r="G56" i="1"/>
  <c r="F56" i="1"/>
  <c r="L56" i="1" s="1"/>
  <c r="I55" i="1"/>
  <c r="H55" i="1"/>
  <c r="G55" i="1"/>
  <c r="F55" i="1"/>
  <c r="L55" i="1" s="1"/>
  <c r="I54" i="1"/>
  <c r="H54" i="1"/>
  <c r="G54" i="1"/>
  <c r="F54" i="1"/>
  <c r="L54" i="1" s="1"/>
  <c r="I53" i="1"/>
  <c r="H53" i="1"/>
  <c r="G53" i="1"/>
  <c r="F53" i="1"/>
  <c r="L53" i="1" s="1"/>
  <c r="I52" i="1"/>
  <c r="H52" i="1"/>
  <c r="G52" i="1"/>
  <c r="F52" i="1"/>
  <c r="L52" i="1" s="1"/>
  <c r="I51" i="1"/>
  <c r="H51" i="1"/>
  <c r="G51" i="1"/>
  <c r="F51" i="1"/>
  <c r="L51" i="1" s="1"/>
  <c r="I50" i="1"/>
  <c r="H50" i="1"/>
  <c r="G50" i="1"/>
  <c r="F50" i="1"/>
  <c r="L50" i="1" s="1"/>
  <c r="I49" i="1"/>
  <c r="H49" i="1"/>
  <c r="G49" i="1"/>
  <c r="F49" i="1"/>
  <c r="L49" i="1" s="1"/>
  <c r="I48" i="1"/>
  <c r="H48" i="1"/>
  <c r="G48" i="1"/>
  <c r="F48" i="1"/>
  <c r="L48" i="1" s="1"/>
  <c r="I47" i="1"/>
  <c r="L47" i="1" s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L42" i="1" s="1"/>
  <c r="I41" i="1"/>
  <c r="H41" i="1"/>
  <c r="G41" i="1"/>
  <c r="F41" i="1"/>
  <c r="L41" i="1" s="1"/>
  <c r="I40" i="1"/>
  <c r="H40" i="1"/>
  <c r="G40" i="1"/>
  <c r="F40" i="1"/>
  <c r="L40" i="1" s="1"/>
  <c r="I39" i="1"/>
  <c r="H39" i="1"/>
  <c r="G39" i="1"/>
  <c r="F39" i="1"/>
  <c r="L39" i="1" s="1"/>
  <c r="I38" i="1"/>
  <c r="H38" i="1"/>
  <c r="G38" i="1"/>
  <c r="F38" i="1"/>
  <c r="L38" i="1" s="1"/>
  <c r="I37" i="1"/>
  <c r="H37" i="1"/>
  <c r="G37" i="1"/>
  <c r="F37" i="1"/>
  <c r="L37" i="1" s="1"/>
  <c r="I36" i="1"/>
  <c r="H36" i="1"/>
  <c r="G36" i="1"/>
  <c r="F36" i="1"/>
  <c r="L36" i="1" s="1"/>
  <c r="I35" i="1"/>
  <c r="H35" i="1"/>
  <c r="G35" i="1"/>
  <c r="F35" i="1"/>
  <c r="L35" i="1" s="1"/>
  <c r="I34" i="1"/>
  <c r="H34" i="1"/>
  <c r="G34" i="1"/>
  <c r="F34" i="1"/>
  <c r="L34" i="1" s="1"/>
  <c r="I33" i="1"/>
  <c r="L33" i="1" s="1"/>
  <c r="H33" i="1"/>
  <c r="G33" i="1"/>
  <c r="F33" i="1"/>
  <c r="I32" i="1"/>
  <c r="H32" i="1"/>
  <c r="G32" i="1"/>
  <c r="F32" i="1"/>
  <c r="L32" i="1" s="1"/>
  <c r="I31" i="1"/>
  <c r="H31" i="1"/>
  <c r="G31" i="1"/>
  <c r="F31" i="1"/>
  <c r="L31" i="1" s="1"/>
  <c r="I30" i="1"/>
  <c r="H30" i="1"/>
  <c r="G30" i="1"/>
  <c r="F30" i="1"/>
  <c r="L30" i="1" s="1"/>
  <c r="I29" i="1"/>
  <c r="H29" i="1"/>
  <c r="G29" i="1"/>
  <c r="F29" i="1"/>
  <c r="L29" i="1" s="1"/>
  <c r="I28" i="1"/>
  <c r="H28" i="1"/>
  <c r="G28" i="1"/>
  <c r="F28" i="1"/>
  <c r="L28" i="1" s="1"/>
  <c r="I27" i="1"/>
  <c r="H27" i="1"/>
  <c r="G27" i="1"/>
  <c r="F27" i="1"/>
  <c r="L27" i="1" s="1"/>
  <c r="I26" i="1"/>
  <c r="H26" i="1"/>
  <c r="G26" i="1"/>
  <c r="F26" i="1"/>
  <c r="L26" i="1" s="1"/>
  <c r="I25" i="1"/>
  <c r="H25" i="1"/>
  <c r="G25" i="1"/>
  <c r="F25" i="1"/>
  <c r="L25" i="1" s="1"/>
  <c r="I24" i="1"/>
  <c r="H24" i="1"/>
  <c r="G24" i="1"/>
  <c r="F24" i="1"/>
  <c r="L24" i="1" s="1"/>
  <c r="I23" i="1"/>
  <c r="H23" i="1"/>
  <c r="G23" i="1"/>
  <c r="F23" i="1"/>
  <c r="L23" i="1" s="1"/>
  <c r="I22" i="1"/>
  <c r="H22" i="1"/>
  <c r="G22" i="1"/>
  <c r="F22" i="1"/>
  <c r="L22" i="1" s="1"/>
  <c r="I21" i="1"/>
  <c r="H21" i="1"/>
  <c r="G21" i="1"/>
  <c r="F21" i="1"/>
  <c r="L21" i="1" s="1"/>
  <c r="I20" i="1"/>
  <c r="H20" i="1"/>
  <c r="G20" i="1"/>
  <c r="F20" i="1"/>
  <c r="L20" i="1" s="1"/>
  <c r="I19" i="1"/>
  <c r="H19" i="1"/>
  <c r="G19" i="1"/>
  <c r="F19" i="1"/>
  <c r="L19" i="1" s="1"/>
  <c r="I18" i="1"/>
  <c r="H18" i="1"/>
  <c r="G18" i="1"/>
  <c r="F18" i="1"/>
  <c r="L18" i="1" s="1"/>
  <c r="I17" i="1"/>
  <c r="H17" i="1"/>
  <c r="G17" i="1"/>
  <c r="F17" i="1"/>
  <c r="L17" i="1" s="1"/>
  <c r="I16" i="1"/>
  <c r="H16" i="1"/>
  <c r="G16" i="1"/>
  <c r="F16" i="1"/>
  <c r="L16" i="1" s="1"/>
  <c r="I15" i="1"/>
  <c r="H15" i="1"/>
  <c r="G15" i="1"/>
  <c r="F15" i="1"/>
  <c r="L15" i="1" s="1"/>
  <c r="I14" i="1"/>
  <c r="H14" i="1"/>
  <c r="G14" i="1"/>
  <c r="F14" i="1"/>
  <c r="L14" i="1" s="1"/>
  <c r="I13" i="1"/>
  <c r="H13" i="1"/>
  <c r="G13" i="1"/>
  <c r="F13" i="1"/>
  <c r="L13" i="1" s="1"/>
  <c r="I12" i="1"/>
  <c r="H12" i="1"/>
  <c r="G12" i="1"/>
  <c r="F12" i="1"/>
  <c r="L12" i="1" s="1"/>
  <c r="I11" i="1"/>
  <c r="H11" i="1"/>
  <c r="G11" i="1"/>
  <c r="F11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H10" i="1"/>
  <c r="G10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L46" i="1" s="1"/>
  <c r="K45" i="1"/>
  <c r="L45" i="1" s="1"/>
  <c r="K44" i="1"/>
  <c r="L44" i="1" s="1"/>
  <c r="K43" i="1"/>
  <c r="L43" i="1" s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C1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AA16" i="2"/>
  <c r="AA17" i="2" s="1"/>
  <c r="Z16" i="2"/>
  <c r="Z17" i="2" s="1"/>
  <c r="Y16" i="2"/>
  <c r="Y17" i="2" s="1"/>
  <c r="X16" i="2"/>
  <c r="X17" i="2" s="1"/>
  <c r="W16" i="2"/>
  <c r="W17" i="2" s="1"/>
  <c r="V16" i="2"/>
  <c r="V17" i="2" s="1"/>
  <c r="U16" i="2"/>
  <c r="U17" i="2" s="1"/>
  <c r="T16" i="2"/>
  <c r="T17" i="2" s="1"/>
  <c r="S16" i="2"/>
  <c r="S17" i="2" s="1"/>
  <c r="R16" i="2"/>
  <c r="R17" i="2" s="1"/>
  <c r="Q16" i="2"/>
  <c r="Q17" i="2" s="1"/>
  <c r="P16" i="2"/>
  <c r="P17" i="2" s="1"/>
  <c r="O16" i="2"/>
  <c r="O17" i="2" s="1"/>
  <c r="N16" i="2"/>
  <c r="N17" i="2" s="1"/>
  <c r="M16" i="2"/>
  <c r="M17" i="2" s="1"/>
  <c r="L16" i="2"/>
  <c r="L17" i="2" s="1"/>
  <c r="K16" i="2"/>
  <c r="K17" i="2" s="1"/>
  <c r="J16" i="2"/>
  <c r="J17" i="2" s="1"/>
  <c r="I16" i="2"/>
  <c r="I17" i="2" s="1"/>
  <c r="H16" i="2"/>
  <c r="H17" i="2" s="1"/>
  <c r="G16" i="2"/>
  <c r="G17" i="2" s="1"/>
  <c r="F16" i="2"/>
  <c r="F17" i="2" s="1"/>
  <c r="E16" i="2"/>
  <c r="E17" i="2" s="1"/>
  <c r="D17" i="2"/>
  <c r="D16" i="2"/>
  <c r="C16" i="2" s="1"/>
  <c r="G17" i="3"/>
  <c r="C17" i="3"/>
  <c r="C26" i="2"/>
  <c r="C27" i="2" s="1"/>
  <c r="C24" i="2"/>
  <c r="C23" i="2"/>
  <c r="C22" i="2"/>
  <c r="C21" i="2"/>
  <c r="C20" i="2"/>
  <c r="C15" i="2"/>
  <c r="C14" i="2"/>
  <c r="C13" i="2"/>
  <c r="C12" i="2"/>
  <c r="C11" i="2"/>
  <c r="C10" i="2"/>
  <c r="C9" i="2"/>
  <c r="C8" i="2"/>
  <c r="C7" i="2"/>
  <c r="C6" i="2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K10" i="1"/>
  <c r="I10" i="1"/>
  <c r="F10" i="1"/>
  <c r="C25" i="2" l="1"/>
  <c r="C17" i="2"/>
</calcChain>
</file>

<file path=xl/sharedStrings.xml><?xml version="1.0" encoding="utf-8"?>
<sst xmlns="http://schemas.openxmlformats.org/spreadsheetml/2006/main" count="422" uniqueCount="375">
  <si>
    <t>Premissas</t>
  </si>
  <si>
    <t>TACOS</t>
  </si>
  <si>
    <t>Custo de Prep.</t>
  </si>
  <si>
    <t>Comissão</t>
  </si>
  <si>
    <t>&gt; CNPJ em SP, limite de 40k de isenção nos primeiros 3 meses. Após isso, renova por +2 meses com limite de até 20k se você investiu pelo menos 3,5% do faturamento em ads</t>
  </si>
  <si>
    <t>Alíquota de Imposto</t>
  </si>
  <si>
    <t>Frete FBA</t>
  </si>
  <si>
    <t>&gt; Tarifa 0 nos primeiros 30 dias, após isso é 6 reais se no mês anterior você investiu pelo menos 3,5% do faturamento em ads</t>
  </si>
  <si>
    <t>Produto</t>
  </si>
  <si>
    <t>Fornecedor</t>
  </si>
  <si>
    <t>Custo Unitário</t>
  </si>
  <si>
    <t>Preço de venda</t>
  </si>
  <si>
    <t>Prep</t>
  </si>
  <si>
    <t>Frete</t>
  </si>
  <si>
    <t>Impostos</t>
  </si>
  <si>
    <t>Margem de Lucro</t>
  </si>
  <si>
    <t>Ads</t>
  </si>
  <si>
    <t>Margem pós ads</t>
  </si>
  <si>
    <t>Tábua Inox</t>
  </si>
  <si>
    <t>Utimix</t>
  </si>
  <si>
    <t>Acumulado</t>
  </si>
  <si>
    <t>Q1</t>
  </si>
  <si>
    <t>Q2</t>
  </si>
  <si>
    <t>Q3</t>
  </si>
  <si>
    <t>Q4</t>
  </si>
  <si>
    <t>Q5</t>
  </si>
  <si>
    <t>Q6</t>
  </si>
  <si>
    <t>Q7</t>
  </si>
  <si>
    <t>Q8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</si>
  <si>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</si>
  <si>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</si>
  <si>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</si>
  <si>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</si>
  <si>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</si>
  <si>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</si>
  <si>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</si>
  <si>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</si>
  <si>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</si>
  <si>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</si>
  <si>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</si>
  <si>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</si>
  <si>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Faturamento</t>
  </si>
  <si>
    <t>Custo Frete FBA</t>
  </si>
  <si>
    <t>Comissão Amazon</t>
  </si>
  <si>
    <t>Promoções</t>
  </si>
  <si>
    <t>Taxa de Armazenagem</t>
  </si>
  <si>
    <t>Custo do estoque</t>
  </si>
  <si>
    <t>Prep. Center</t>
  </si>
  <si>
    <t>Motorista</t>
  </si>
  <si>
    <t>Imposto</t>
  </si>
  <si>
    <t>Custos e Despesas Variáveis</t>
  </si>
  <si>
    <t>Lucro Operacional</t>
  </si>
  <si>
    <t>Margem Operacional</t>
  </si>
  <si>
    <t>Ferramentas de Gestão</t>
  </si>
  <si>
    <t>Endereço Fiscal</t>
  </si>
  <si>
    <t>Certificado Digital</t>
  </si>
  <si>
    <t>Assessoria Contábil</t>
  </si>
  <si>
    <t>Salário de Funcionários</t>
  </si>
  <si>
    <t xml:space="preserve">Custos e Despesas Fixas </t>
  </si>
  <si>
    <t>Lucro Líquido</t>
  </si>
  <si>
    <t>Margem Líquida</t>
  </si>
  <si>
    <t>Ciclo Atual</t>
  </si>
  <si>
    <t>Passivos</t>
  </si>
  <si>
    <t>Conta</t>
  </si>
  <si>
    <t>Fluxos</t>
  </si>
  <si>
    <t>Data de Vencimento</t>
  </si>
  <si>
    <t>Valor</t>
  </si>
  <si>
    <t>Saldo Atual</t>
  </si>
  <si>
    <t>Caixa</t>
  </si>
  <si>
    <t>TOTAL</t>
  </si>
  <si>
    <t>Site / Instagram</t>
  </si>
  <si>
    <t>Telefone</t>
  </si>
  <si>
    <t>123 Util</t>
  </si>
  <si>
    <t>https://123util.com.br/</t>
  </si>
  <si>
    <t>(11) 2694-0264</t>
  </si>
  <si>
    <t>A5 Importadora</t>
  </si>
  <si>
    <t>https://a5importadora.com.br/</t>
  </si>
  <si>
    <t>(46) 99118-0643</t>
  </si>
  <si>
    <t>Acte Sports</t>
  </si>
  <si>
    <t>https://www.actesports.com/</t>
  </si>
  <si>
    <t>(11) 987701596</t>
  </si>
  <si>
    <t>All Mix</t>
  </si>
  <si>
    <t>https://www.allmixdistribuidora.com.br/</t>
  </si>
  <si>
    <t>(11) 4199-2000</t>
  </si>
  <si>
    <t>Aluminio Fortaleza</t>
  </si>
  <si>
    <t>https://aluminiofortaleza.com.br/</t>
  </si>
  <si>
    <t>Não publicado no site oficial</t>
  </si>
  <si>
    <t>Amigold</t>
  </si>
  <si>
    <t>https://www.instagram.com/amigold.oficial/</t>
  </si>
  <si>
    <t>(16) 99206-0073</t>
  </si>
  <si>
    <t>AmilPlast</t>
  </si>
  <si>
    <t>https://www.amilplastvariedades.com.br/</t>
  </si>
  <si>
    <t>(11) 2338-5505 / (11) 99880-1621</t>
  </si>
  <si>
    <t>Art Brink</t>
  </si>
  <si>
    <t>https://www.instagram.com/art.brink/?hl=pt-brDF</t>
  </si>
  <si>
    <t>(61) 99626-9650</t>
  </si>
  <si>
    <t>Art Pesca</t>
  </si>
  <si>
    <t>https://www.artpesca.com.br/</t>
  </si>
  <si>
    <t>ATEF</t>
  </si>
  <si>
    <t>https://b2b.atefdistribuidora.com.br/</t>
  </si>
  <si>
    <t>Avipec</t>
  </si>
  <si>
    <t>http://www.avipec.com.br/</t>
  </si>
  <si>
    <t>(85) 3535-5000</t>
  </si>
  <si>
    <t>BCL Atacado</t>
  </si>
  <si>
    <t>http://bclatacado.com.br/</t>
  </si>
  <si>
    <t>(54) 3211-3628</t>
  </si>
  <si>
    <t>Bellagio Importadora</t>
  </si>
  <si>
    <t>https://www.instagram.com/bellagioimportadora/</t>
  </si>
  <si>
    <t>Não confirmado em site próprio</t>
  </si>
  <si>
    <t>Braspets</t>
  </si>
  <si>
    <t>(11) 3804-4798</t>
  </si>
  <si>
    <t>Brinox</t>
  </si>
  <si>
    <t>https://www.brinox.com.br/</t>
  </si>
  <si>
    <t>(54) 4009-7000</t>
  </si>
  <si>
    <t>https://brinquedospicapau.com.br/</t>
  </si>
  <si>
    <t>(11) 3668-8490</t>
  </si>
  <si>
    <t>BRIWAX</t>
  </si>
  <si>
    <t>https://briwax.com.br/</t>
  </si>
  <si>
    <t>Broker Distribuidora</t>
  </si>
  <si>
    <t>https://www.brokerdistribui.com.br/</t>
  </si>
  <si>
    <t>(11) 3567-5700</t>
  </si>
  <si>
    <t>Buddy Toys</t>
  </si>
  <si>
    <t>https://www.buddytoys.com.br/</t>
  </si>
  <si>
    <t>(11) 5594-7801</t>
  </si>
  <si>
    <t>Casavita UD</t>
  </si>
  <si>
    <t>https://casavitaud.com/</t>
  </si>
  <si>
    <t>(47) 98879-4105</t>
  </si>
  <si>
    <t>Class Home</t>
  </si>
  <si>
    <t>https://www.classhome.com.br/</t>
  </si>
  <si>
    <t>(18) 3209-1919</t>
  </si>
  <si>
    <t>Clink</t>
  </si>
  <si>
    <t>https://clinkimport.com/</t>
  </si>
  <si>
    <t>(11) 98835 9473</t>
  </si>
  <si>
    <t>Corttex</t>
  </si>
  <si>
    <t>https://corttex.com.br/</t>
  </si>
  <si>
    <t>(19) 21097750</t>
  </si>
  <si>
    <t>DM Toys</t>
  </si>
  <si>
    <t>https://dmtoys.com.br/</t>
  </si>
  <si>
    <t>(11) 3227 3679</t>
  </si>
  <si>
    <t>Etilux (Etytoys)</t>
  </si>
  <si>
    <t>https://www.etilux.com.br/pages/catalogos/id:10SP</t>
  </si>
  <si>
    <t>(11) 2955-1800</t>
  </si>
  <si>
    <t>Fabiana Brinquedos</t>
  </si>
  <si>
    <t>(11) 97580-809</t>
  </si>
  <si>
    <t>Fenix Brinquedos</t>
  </si>
  <si>
    <t>https://fenixbrinquedos.com.br/</t>
  </si>
  <si>
    <t>(11) 4655-5004</t>
  </si>
  <si>
    <t>Focus Atacadista</t>
  </si>
  <si>
    <t>https://www.focusatacadista.com.br/</t>
  </si>
  <si>
    <t>(53) 99974-2734</t>
  </si>
  <si>
    <t>FU XING</t>
  </si>
  <si>
    <t>https://km2representacoes.com.br/</t>
  </si>
  <si>
    <t>(21) 2568-2568</t>
  </si>
  <si>
    <t>FWB</t>
  </si>
  <si>
    <t>Não localizado após busca</t>
  </si>
  <si>
    <t>Geral Plasbrink</t>
  </si>
  <si>
    <t>http://www.plasbrink.com.br/</t>
  </si>
  <si>
    <t>(11) 3777-1697</t>
  </si>
  <si>
    <t>Gira Import</t>
  </si>
  <si>
    <t>https://www.giraimport.com.br/</t>
  </si>
  <si>
    <t>(11) 97729-7314</t>
  </si>
  <si>
    <t>GLOBimport</t>
  </si>
  <si>
    <t>https://www.globimport.com.br/</t>
  </si>
  <si>
    <t>(11) 2307-5516 / (11) 97155-0900</t>
  </si>
  <si>
    <t>Golden Artefatos de Madeira</t>
  </si>
  <si>
    <t>https://www.goldenartefatosdemadeira.com/</t>
  </si>
  <si>
    <t>(54) 99610-5511</t>
  </si>
  <si>
    <t>GOLDEN RIO</t>
  </si>
  <si>
    <t>https://www.instagram.com/goldenrioimportacoes/</t>
  </si>
  <si>
    <t>Grow</t>
  </si>
  <si>
    <t>https://www.lojagrow.com.br/</t>
  </si>
  <si>
    <t>(11) 98923-4553</t>
  </si>
  <si>
    <t>Home Design</t>
  </si>
  <si>
    <t>Home Goods Importadora</t>
  </si>
  <si>
    <t>https://catalogo.homegoodsimportadora.com.br/</t>
  </si>
  <si>
    <t>(11) 93706-3808</t>
  </si>
  <si>
    <t>Imporiente</t>
  </si>
  <si>
    <t>(21) 98157-8830</t>
  </si>
  <si>
    <t>Ingá Import</t>
  </si>
  <si>
    <t>https://www.ingaimport.com.br/</t>
  </si>
  <si>
    <t>(44) 99108-8643</t>
  </si>
  <si>
    <t>Isanog Comercio</t>
  </si>
  <si>
    <t>https://www.instagram.com/isanog_importadora/</t>
  </si>
  <si>
    <t>ISSAM</t>
  </si>
  <si>
    <t>https://b2b.issam.com.br/</t>
  </si>
  <si>
    <t>(11) 3324-6409</t>
  </si>
  <si>
    <t>JF Importadora</t>
  </si>
  <si>
    <t>(21) 99404-0195</t>
  </si>
  <si>
    <t>Ke Home</t>
  </si>
  <si>
    <t>https://kehome.com.br/</t>
  </si>
  <si>
    <t>Keita</t>
  </si>
  <si>
    <t>https://www.keita.com.br/</t>
  </si>
  <si>
    <t>Lorenzetti</t>
  </si>
  <si>
    <t>https://www.lorenzetti.com.br/</t>
  </si>
  <si>
    <t>0800 016 0211</t>
  </si>
  <si>
    <t>Mafra Utilidades</t>
  </si>
  <si>
    <t>https://www.mafrautilidades.com.br/</t>
  </si>
  <si>
    <t>(51) 3782-1405</t>
  </si>
  <si>
    <t>Marvic Atacadista</t>
  </si>
  <si>
    <t>https://www.marvic.com.br/</t>
  </si>
  <si>
    <t>(11) 2292-7182</t>
  </si>
  <si>
    <t>Megagift</t>
  </si>
  <si>
    <t>https://www.instagram.com/megagiftcomercio/</t>
  </si>
  <si>
    <t>Meio Atacado</t>
  </si>
  <si>
    <t>http://www.meioatacado.com.br/</t>
  </si>
  <si>
    <t>(19) 3371-7171</t>
  </si>
  <si>
    <t>Mimo Stlye</t>
  </si>
  <si>
    <t>http://www.mimostyle.com.br/</t>
  </si>
  <si>
    <t>(11) 3787-4400</t>
  </si>
  <si>
    <t>Monte Líbano</t>
  </si>
  <si>
    <t>http://www.montelibano.com.br</t>
  </si>
  <si>
    <t>(11) 2902-3770</t>
  </si>
  <si>
    <t>Mor</t>
  </si>
  <si>
    <t>(51) 2106-7601</t>
  </si>
  <si>
    <t>Muvin</t>
  </si>
  <si>
    <t>https://muvin.com.br/</t>
  </si>
  <si>
    <t>(18) 9-8175-0681</t>
  </si>
  <si>
    <t>Nautika</t>
  </si>
  <si>
    <t>https://www.nautikalazer.com.br</t>
  </si>
  <si>
    <t>(11) 2085-4622</t>
  </si>
  <si>
    <t>Naxos</t>
  </si>
  <si>
    <t>https://www.naxos.net.br/</t>
  </si>
  <si>
    <t>(47) 3525-3040</t>
  </si>
  <si>
    <t>Nig Brinquedos</t>
  </si>
  <si>
    <t>https://nigbrinquedos.com.br/</t>
  </si>
  <si>
    <t>(16) 39548080</t>
  </si>
  <si>
    <t>https://www.atacadonipocenter.com.br/</t>
  </si>
  <si>
    <t>Nitron</t>
  </si>
  <si>
    <t>https://www.nitron.com.br/</t>
  </si>
  <si>
    <t>(11) 2413-2239</t>
  </si>
  <si>
    <t>Oikos</t>
  </si>
  <si>
    <t>https://souoikos.com.br/</t>
  </si>
  <si>
    <t>Onix Import</t>
  </si>
  <si>
    <t>https://onyxtrade.com.br/</t>
  </si>
  <si>
    <t>(11) 3326-7516 / (11) 3326-7518 / (11) 97076-0578</t>
  </si>
  <si>
    <t>P.A Brinquedos</t>
  </si>
  <si>
    <t>https://www.pabrinquedos.com.br/</t>
  </si>
  <si>
    <t>(43) 98406-0307</t>
  </si>
  <si>
    <t>Plasútil</t>
  </si>
  <si>
    <t>(14) 4009-4942</t>
  </si>
  <si>
    <t>RCA Distribuidor Atacadista</t>
  </si>
  <si>
    <t>http://www.rcaatacadista.com.br/</t>
  </si>
  <si>
    <t>(54) 98408-5838</t>
  </si>
  <si>
    <t>https://gruporocie.com.br/</t>
  </si>
  <si>
    <t>Rio Home</t>
  </si>
  <si>
    <t>https://www.instagram.com/riohomeoficial/</t>
  </si>
  <si>
    <t>Rio Master</t>
  </si>
  <si>
    <t>https://riomaster.com.br/</t>
  </si>
  <si>
    <t>(21) 96476-6180</t>
  </si>
  <si>
    <t>Rio Tijucas</t>
  </si>
  <si>
    <t>(48) 3263-4761</t>
  </si>
  <si>
    <t>Rochedo</t>
  </si>
  <si>
    <t>(11) 2060-9777</t>
  </si>
  <si>
    <t>Rocie</t>
  </si>
  <si>
    <t>Rozemac</t>
  </si>
  <si>
    <t>https://www.gruporojemac.com.br/</t>
  </si>
  <si>
    <t>(11) 3616-9900</t>
  </si>
  <si>
    <t>Santa Cecília Import</t>
  </si>
  <si>
    <t>SOPRANO</t>
  </si>
  <si>
    <t>https://www.soprano.com.br/</t>
  </si>
  <si>
    <t>Stolf</t>
  </si>
  <si>
    <t>TOP CASA</t>
  </si>
  <si>
    <t>Top Mix</t>
  </si>
  <si>
    <t>https://www.instagram.com/topmiximportadora/</t>
  </si>
  <si>
    <t>Tramontina</t>
  </si>
  <si>
    <t>https://www.tramontina.com.br/</t>
  </si>
  <si>
    <t>(11) 4861-3981</t>
  </si>
  <si>
    <t>TT Brasil</t>
  </si>
  <si>
    <t>https://ttbrasil.com.br/</t>
  </si>
  <si>
    <t>(11) 98635-2637 / (21) 99577-6764</t>
  </si>
  <si>
    <t>Tuut</t>
  </si>
  <si>
    <t>https://tuut.com.br/</t>
  </si>
  <si>
    <t>Unik Home</t>
  </si>
  <si>
    <t>Unilux</t>
  </si>
  <si>
    <t>https://unilux.com.br/</t>
  </si>
  <si>
    <t>(48) 3357-6666</t>
  </si>
  <si>
    <t>https://www.utimix.com/</t>
  </si>
  <si>
    <t>(11) 95300-7505</t>
  </si>
  <si>
    <t>Vollo</t>
  </si>
  <si>
    <t>https://www.vollo.com.br/</t>
  </si>
  <si>
    <t>(11) 3798-1099</t>
  </si>
  <si>
    <t>Vonder</t>
  </si>
  <si>
    <t>http://www.ovd.com.br</t>
  </si>
  <si>
    <t>(41) 2101-2500</t>
  </si>
  <si>
    <t>Wellmix</t>
  </si>
  <si>
    <t>https://www.wellmix.com.br/</t>
  </si>
  <si>
    <t>(11) 3312-8790</t>
  </si>
  <si>
    <t>Y888</t>
  </si>
  <si>
    <t>https://www.y888importadora.com.br/</t>
  </si>
  <si>
    <t>(21) 2222-1387</t>
  </si>
  <si>
    <t>Zein</t>
  </si>
  <si>
    <t>https://www.zein.com.br/</t>
  </si>
  <si>
    <t>zini home</t>
  </si>
  <si>
    <t>https://zinihome.com.br/</t>
  </si>
  <si>
    <t>(12) 3413-9905</t>
  </si>
  <si>
    <t>zoop toys</t>
  </si>
  <si>
    <t>https://zooptoys.com.br/</t>
  </si>
  <si>
    <t>Brawu</t>
  </si>
  <si>
    <t>https://www.braswu.com.br/</t>
  </si>
  <si>
    <t>(11) 3322-6600</t>
  </si>
  <si>
    <t>Casa onze</t>
  </si>
  <si>
    <t>https://www.instagram.com/casaonze.importados/</t>
  </si>
  <si>
    <t>CIM</t>
  </si>
  <si>
    <t>https://www.instagram.com/cimtoysoficial/</t>
  </si>
  <si>
    <t>Crippa</t>
  </si>
  <si>
    <t>(54) 99173-9662</t>
  </si>
  <si>
    <t>DOLCE Home</t>
  </si>
  <si>
    <t>https://www.dolcehome.com.br/</t>
  </si>
  <si>
    <t>(11) 97677-1338</t>
  </si>
  <si>
    <t>Euro Home</t>
  </si>
  <si>
    <t>Festa Chic</t>
  </si>
  <si>
    <t>Frontier importadora</t>
  </si>
  <si>
    <t>https://www.instagram.com/frontierimportadoraoficialsp/</t>
  </si>
  <si>
    <t>Grilazer</t>
  </si>
  <si>
    <t>https://grilazer.com.br/</t>
  </si>
  <si>
    <t>(46) 3547-2165</t>
  </si>
  <si>
    <t>JLK Plásticos</t>
  </si>
  <si>
    <t>Multiart</t>
  </si>
  <si>
    <t>https://www.instagram.com/multiart.oficial/</t>
  </si>
  <si>
    <t>Oi Vida Importadora</t>
  </si>
  <si>
    <t>https://www.instagram.com/oividaimportadora/</t>
  </si>
  <si>
    <t>plasdorta</t>
  </si>
  <si>
    <t>https://plasdorta.com.br/</t>
  </si>
  <si>
    <t>(19) 99750-7573</t>
  </si>
  <si>
    <t>plasmont</t>
  </si>
  <si>
    <t>https://www.plasmont.ind.br/</t>
  </si>
  <si>
    <t>(19) 3893-5888 / (19) 3893-1128</t>
  </si>
  <si>
    <t>pratic plasticos</t>
  </si>
  <si>
    <t>https://www.praticplasticos.com.br/</t>
  </si>
  <si>
    <t>(19) 3853-2000</t>
  </si>
  <si>
    <t>quality house</t>
  </si>
  <si>
    <t>https://www.instagram.com/qualityhouse.ud/</t>
  </si>
  <si>
    <t>RAE Plasticos</t>
  </si>
  <si>
    <t>https://www.raeplasticos.com.br/</t>
  </si>
  <si>
    <t>sanxia comercial</t>
  </si>
  <si>
    <t>https://www.sanxia.com.br/</t>
  </si>
  <si>
    <t>(11) 3229-6467 / (11) 3228-5037</t>
  </si>
  <si>
    <t>Vitazza</t>
  </si>
  <si>
    <t>https://vitazza.com.br/</t>
  </si>
  <si>
    <t>(11) 4793-8900</t>
  </si>
  <si>
    <t>-</t>
  </si>
  <si>
    <t>(11) 2291-2277</t>
  </si>
  <si>
    <t>https://brasgroup.com.br/</t>
  </si>
  <si>
    <t>https://www.fabianabrinquedos.com.br/</t>
  </si>
  <si>
    <t>https://www.lojamor.com.br/institucional/seja-um-revendedor</t>
  </si>
  <si>
    <t>https://www.lojaplasutil.com.br/revenda/</t>
  </si>
  <si>
    <t>https://www.riotijucasimportadora.com.br/</t>
  </si>
  <si>
    <t>https://www.arno.com.br/solucoes-para-empresas</t>
  </si>
  <si>
    <t>https://www.instagram.com/santaceciliaimport/</t>
  </si>
  <si>
    <t>https://stolf.ind.br/</t>
  </si>
  <si>
    <t>https://www.instagram.com/oficialtopcasa/</t>
  </si>
  <si>
    <t>https://www.instagram.com/unikhomeimports/</t>
  </si>
  <si>
    <t>https://www.crippa.com.br/area-do-lojista</t>
  </si>
  <si>
    <t>https://www.instagram.com/eurohomeoficial/</t>
  </si>
  <si>
    <t>https://festachic.com.br/</t>
  </si>
  <si>
    <t>https://jlkplasticos.com/</t>
  </si>
  <si>
    <t>Brinquedos Pica Pau</t>
  </si>
  <si>
    <t>Nipocenter</t>
  </si>
  <si>
    <t>Top Rio</t>
  </si>
  <si>
    <t>https://www.instagram.com/toprio_importadora_ofc/?hl=em</t>
  </si>
  <si>
    <t>https://www.instagram.com/imporiente_oficial/?hl=em</t>
  </si>
  <si>
    <t>(11)94725-1366 &gt; João</t>
  </si>
  <si>
    <t>(21) 3649-3992</t>
  </si>
  <si>
    <t>(21) 97038-5924 &gt; Giulia ou (11) 98637-9492 &gt; Fernanda</t>
  </si>
  <si>
    <t>11 95233-1922</t>
  </si>
  <si>
    <t>(11) 91924-3318 ou (11) 94462-3108 ou (11) 99344-8089</t>
  </si>
  <si>
    <t>Nome</t>
  </si>
  <si>
    <t>Contabilidade</t>
  </si>
  <si>
    <t>&gt; Comecem por esses em verde</t>
  </si>
  <si>
    <t>Destaq</t>
  </si>
  <si>
    <t>WEI Import</t>
  </si>
  <si>
    <t>https://weiimportoficial.com/</t>
  </si>
  <si>
    <t>1199863-6666</t>
  </si>
  <si>
    <t>https://www.instagram.com/destaq_atacado/</t>
  </si>
  <si>
    <t>11 94903-4031 &gt; Beatriz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</si>
</sst>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164" formatCode="0.0%"/>
    <numFmt numFmtId="165" formatCode="_-* #,##0.00_-;\-* #,##0.00_-;_-* \-??_-;_-@_-"/>
    <numFmt numFmtId="166" formatCode="_-* #,##0.0_-;\-* #,##0.0_-;_-* \-??_-;_-@_-"/>
    <numFmt numFmtId="167" formatCode="_-* #,##0_-;\-* #,##0_-;_-* \-??_-;_-@_-"/>
    <numFmt numFmtId="168" formatCode="[$-409]d\-mmm"/>
    <numFmt numFmtId="169" formatCode="[$-409]m/d/yyyy"/>
  </numFmts>
  <fonts count="28" x14ac:knownFonts="1">
    <font>
      <sz val="12"/>
      <color rgb="FF000000"/>
      <name val="Aptos Narrow"/>
    </font>
    <font>
      <sz val="10"/>
      <name val="Arial"/>
      <family val="2"/>
    </font>
    <font>
      <sz val="12"/>
      <color rgb="FF008000"/>
      <name val="Aptos Narrow"/>
      <family val="2"/>
    </font>
    <font>
      <b/>
      <sz val="12"/>
      <color rgb="FFFF9900"/>
      <name val="Aptos Narrow"/>
      <family val="2"/>
    </font>
    <font>
      <b/>
      <sz val="12"/>
      <color rgb="FFFFFFFF"/>
      <name val="Aptos Narrow"/>
      <family val="2"/>
    </font>
    <font>
      <sz val="12"/>
      <color rgb="FFFF9900"/>
      <name val="Aptos Narrow"/>
      <family val="2"/>
    </font>
    <font>
      <sz val="12"/>
      <color rgb="FF333399"/>
      <name val="Aptos Narrow"/>
      <family val="2"/>
    </font>
    <font>
      <sz val="12"/>
      <color rgb="FF33CCCC"/>
      <name val="Aptos Narrow"/>
      <family val="2"/>
    </font>
    <font>
      <sz val="12"/>
      <color rgb="FF993366"/>
      <name val="Aptos Narrow"/>
      <family val="2"/>
    </font>
    <font>
      <sz val="12"/>
      <color rgb="FF993300"/>
      <name val="Aptos Narrow"/>
      <family val="2"/>
    </font>
    <font>
      <sz val="12"/>
      <color rgb="FF800080"/>
      <name val="Aptos Narrow"/>
      <family val="2"/>
    </font>
    <font>
      <b/>
      <sz val="12"/>
      <color rgb="FF333333"/>
      <name val="Aptos Narrow"/>
      <family val="2"/>
    </font>
    <font>
      <sz val="12"/>
      <color rgb="FFFF0000"/>
      <name val="Aptos Narrow"/>
      <family val="2"/>
    </font>
    <font>
      <i/>
      <sz val="12"/>
      <color rgb="FF808080"/>
      <name val="Aptos Narrow"/>
      <family val="2"/>
    </font>
    <font>
      <b/>
      <sz val="12"/>
      <color rgb="FF000000"/>
      <name val="Aptos Narrow"/>
      <family val="2"/>
    </font>
    <font>
      <sz val="18"/>
      <color rgb="FF003366"/>
      <name val="Aptos Display"/>
      <family val="2"/>
    </font>
    <font>
      <b/>
      <sz val="15"/>
      <color rgb="FF003366"/>
      <name val="Aptos Narrow"/>
      <family val="2"/>
    </font>
    <font>
      <b/>
      <sz val="13"/>
      <color rgb="FF003366"/>
      <name val="Aptos Narrow"/>
      <family val="2"/>
    </font>
    <font>
      <b/>
      <sz val="11"/>
      <color rgb="FF003366"/>
      <name val="Aptos Narrow"/>
      <family val="2"/>
    </font>
    <font>
      <sz val="12"/>
      <color rgb="FFFFFFFF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2"/>
      <color rgb="FF000000"/>
      <name val="Aptos Narrow"/>
      <family val="2"/>
    </font>
    <font>
      <b/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CC"/>
      </patternFill>
    </fill>
    <fill>
      <patternFill patternType="solid">
        <fgColor rgb="FFFF99CC"/>
      </patternFill>
    </fill>
    <fill>
      <patternFill patternType="solid">
        <fgColor rgb="FF99CCFF"/>
      </patternFill>
    </fill>
    <fill>
      <patternFill patternType="solid">
        <fgColor rgb="FF33CCCC"/>
      </patternFill>
    </fill>
    <fill>
      <patternFill patternType="solid">
        <fgColor rgb="FF339966"/>
      </patternFill>
    </fill>
    <fill>
      <patternFill patternType="solid">
        <fgColor rgb="FF3366FF"/>
      </patternFill>
    </fill>
    <fill>
      <patternFill patternType="solid">
        <fgColor rgb="FF993366"/>
      </patternFill>
    </fill>
    <fill>
      <patternFill patternType="solid">
        <fgColor rgb="FF00FF00"/>
      </patternFill>
    </fill>
    <fill>
      <patternFill patternType="solid">
        <fgColor rgb="FF969696"/>
      </patternFill>
    </fill>
    <fill>
      <patternFill patternType="solid">
        <fgColor rgb="FFFFFF99"/>
      </patternFill>
    </fill>
    <fill>
      <patternFill patternType="solid">
        <fgColor rgb="FFFFFFCC"/>
      </patternFill>
    </fill>
    <fill>
      <patternFill patternType="solid">
        <fgColor rgb="FF008080"/>
      </patternFill>
    </fill>
    <fill>
      <patternFill patternType="solid">
        <fgColor rgb="FFFF6600"/>
      </patternFill>
    </fill>
    <fill>
      <patternFill patternType="solid">
        <fgColor rgb="FF00CCFF"/>
      </patternFill>
    </fill>
    <fill>
      <patternFill patternType="solid">
        <fgColor rgb="FFFFFFFF"/>
      </patternFill>
    </fill>
    <fill>
      <patternFill patternType="solid">
        <fgColor rgb="FF00336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008080"/>
      </top>
      <bottom style="double">
        <color rgb="FF008080"/>
      </bottom>
      <diagonal/>
    </border>
    <border>
      <left/>
      <right/>
      <top/>
      <bottom style="thick">
        <color rgb="FF008080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165" fontId="25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25" fillId="0" borderId="0" applyBorder="0" applyAlignment="0" applyProtection="0"/>
    <xf numFmtId="0" fontId="25" fillId="2" borderId="0" applyBorder="0" applyAlignment="0" applyProtection="0"/>
    <xf numFmtId="0" fontId="25" fillId="3" borderId="0" applyBorder="0" applyAlignment="0" applyProtection="0"/>
    <xf numFmtId="0" fontId="25" fillId="4" borderId="0" applyBorder="0" applyAlignment="0" applyProtection="0"/>
    <xf numFmtId="0" fontId="25" fillId="2" borderId="0" applyBorder="0" applyAlignment="0" applyProtection="0"/>
    <xf numFmtId="0" fontId="25" fillId="5" borderId="0" applyBorder="0" applyAlignment="0" applyProtection="0"/>
    <xf numFmtId="0" fontId="25" fillId="4" borderId="0" applyBorder="0" applyAlignment="0" applyProtection="0"/>
    <xf numFmtId="0" fontId="25" fillId="6" borderId="0" applyBorder="0" applyAlignment="0" applyProtection="0"/>
    <xf numFmtId="0" fontId="25" fillId="3" borderId="0" applyBorder="0" applyAlignment="0" applyProtection="0"/>
    <xf numFmtId="0" fontId="25" fillId="7" borderId="0" applyBorder="0" applyAlignment="0" applyProtection="0"/>
    <xf numFmtId="0" fontId="25" fillId="6" borderId="0" applyBorder="0" applyAlignment="0" applyProtection="0"/>
    <xf numFmtId="0" fontId="25" fillId="5" borderId="0" applyBorder="0" applyAlignment="0" applyProtection="0"/>
    <xf numFmtId="0" fontId="25" fillId="4" borderId="0" applyBorder="0" applyAlignment="0" applyProtection="0"/>
    <xf numFmtId="0" fontId="25" fillId="7" borderId="0" applyBorder="0" applyAlignment="0" applyProtection="0"/>
    <xf numFmtId="0" fontId="25" fillId="3" borderId="0" applyBorder="0" applyAlignment="0" applyProtection="0"/>
    <xf numFmtId="0" fontId="25" fillId="8" borderId="0" applyBorder="0" applyAlignment="0" applyProtection="0"/>
    <xf numFmtId="0" fontId="25" fillId="9" borderId="0" applyBorder="0" applyAlignment="0" applyProtection="0"/>
    <xf numFmtId="0" fontId="25" fillId="10" borderId="0" applyBorder="0" applyAlignment="0" applyProtection="0"/>
    <xf numFmtId="0" fontId="25" fillId="11" borderId="0" applyBorder="0" applyAlignment="0" applyProtection="0"/>
    <xf numFmtId="0" fontId="2" fillId="4" borderId="0" applyBorder="0" applyAlignment="0" applyProtection="0"/>
    <xf numFmtId="0" fontId="3" fillId="3" borderId="1" applyAlignment="0" applyProtection="0"/>
    <xf numFmtId="0" fontId="4" fillId="12" borderId="2" applyAlignment="0" applyProtection="0"/>
    <xf numFmtId="0" fontId="5" fillId="0" borderId="3" applyAlignment="0" applyProtection="0"/>
    <xf numFmtId="0" fontId="6" fillId="3" borderId="1" applyAlignment="0" applyProtection="0"/>
    <xf numFmtId="0" fontId="7" fillId="0" borderId="0" applyBorder="0" applyAlignment="0" applyProtection="0"/>
    <xf numFmtId="0" fontId="8" fillId="0" borderId="0" applyBorder="0" applyAlignment="0" applyProtection="0"/>
    <xf numFmtId="0" fontId="9" fillId="13" borderId="0" applyBorder="0" applyAlignment="0" applyProtection="0"/>
    <xf numFmtId="0" fontId="25" fillId="14" borderId="4" applyAlignment="0" applyProtection="0"/>
    <xf numFmtId="0" fontId="10" fillId="5" borderId="0" applyBorder="0" applyAlignment="0" applyProtection="0"/>
    <xf numFmtId="0" fontId="11" fillId="3" borderId="5" applyAlignment="0" applyProtection="0"/>
    <xf numFmtId="0" fontId="12" fillId="0" borderId="0" applyBorder="0" applyAlignment="0" applyProtection="0"/>
    <xf numFmtId="0" fontId="13" fillId="0" borderId="0" applyBorder="0" applyAlignment="0" applyProtection="0"/>
    <xf numFmtId="0" fontId="14" fillId="0" borderId="6" applyAlignment="0" applyProtection="0"/>
    <xf numFmtId="0" fontId="15" fillId="0" borderId="0" applyBorder="0" applyAlignment="0" applyProtection="0"/>
    <xf numFmtId="0" fontId="16" fillId="0" borderId="7" applyAlignment="0" applyProtection="0"/>
    <xf numFmtId="0" fontId="17" fillId="0" borderId="8" applyAlignment="0" applyProtection="0"/>
    <xf numFmtId="0" fontId="18" fillId="0" borderId="9" applyAlignment="0" applyProtection="0"/>
    <xf numFmtId="0" fontId="18" fillId="0" borderId="0" applyBorder="0" applyAlignment="0" applyProtection="0"/>
    <xf numFmtId="0" fontId="19" fillId="15" borderId="0" applyBorder="0" applyAlignment="0" applyProtection="0"/>
    <xf numFmtId="0" fontId="19" fillId="16" borderId="0" applyBorder="0" applyAlignment="0" applyProtection="0"/>
    <xf numFmtId="0" fontId="19" fillId="8" borderId="0" applyBorder="0" applyAlignment="0" applyProtection="0"/>
    <xf numFmtId="0" fontId="19" fillId="17" borderId="0" applyBorder="0" applyAlignment="0" applyProtection="0"/>
    <xf numFmtId="0" fontId="19" fillId="10" borderId="0" applyBorder="0" applyAlignment="0" applyProtection="0"/>
    <xf numFmtId="0" fontId="19" fillId="8" borderId="0" applyBorder="0" applyAlignment="0" applyProtection="0"/>
  </cellStyleXfs>
  <cellXfs count="55">
    <xf numFmtId="0" fontId="0" fillId="0" borderId="0" xfId="0"/>
    <xf numFmtId="0" fontId="0" fillId="18" borderId="0" xfId="0" applyFill="1"/>
    <xf numFmtId="9" fontId="0" fillId="18" borderId="0" xfId="0" applyNumberFormat="1" applyFill="1"/>
    <xf numFmtId="0" fontId="21" fillId="18" borderId="11" xfId="0" applyFont="1" applyFill="1" applyBorder="1"/>
    <xf numFmtId="0" fontId="21" fillId="18" borderId="13" xfId="0" applyFont="1" applyFill="1" applyBorder="1"/>
    <xf numFmtId="0" fontId="21" fillId="18" borderId="15" xfId="0" applyFont="1" applyFill="1" applyBorder="1"/>
    <xf numFmtId="0" fontId="20" fillId="19" borderId="17" xfId="0" applyFont="1" applyFill="1" applyBorder="1" applyAlignment="1">
      <alignment horizontal="center"/>
    </xf>
    <xf numFmtId="165" fontId="21" fillId="18" borderId="17" xfId="1" applyFont="1" applyFill="1" applyBorder="1" applyAlignment="1">
      <alignment horizontal="right"/>
    </xf>
    <xf numFmtId="0" fontId="20" fillId="19" borderId="0" xfId="0" applyFont="1" applyFill="1" applyAlignment="1">
      <alignment horizontal="center"/>
    </xf>
    <xf numFmtId="0" fontId="14" fillId="18" borderId="0" xfId="0" applyFont="1" applyFill="1"/>
    <xf numFmtId="167" fontId="22" fillId="18" borderId="0" xfId="1" applyNumberFormat="1" applyFont="1" applyFill="1" applyBorder="1" applyAlignment="1"/>
    <xf numFmtId="167" fontId="21" fillId="18" borderId="0" xfId="1" applyNumberFormat="1" applyFont="1" applyFill="1" applyBorder="1" applyAlignment="1"/>
    <xf numFmtId="0" fontId="23" fillId="18" borderId="0" xfId="0" applyFont="1" applyFill="1"/>
    <xf numFmtId="164" fontId="23" fillId="18" borderId="0" xfId="0" applyNumberFormat="1" applyFont="1" applyFill="1"/>
    <xf numFmtId="167" fontId="14" fillId="18" borderId="0" xfId="0" applyNumberFormat="1" applyFont="1" applyFill="1"/>
    <xf numFmtId="164" fontId="23" fillId="18" borderId="0" xfId="5" applyNumberFormat="1" applyFont="1" applyFill="1" applyBorder="1" applyAlignment="1"/>
    <xf numFmtId="0" fontId="20" fillId="19" borderId="18" xfId="0" applyFont="1" applyFill="1" applyBorder="1" applyAlignment="1">
      <alignment horizontal="center"/>
    </xf>
    <xf numFmtId="0" fontId="21" fillId="0" borderId="17" xfId="0" applyFont="1" applyBorder="1"/>
    <xf numFmtId="165" fontId="21" fillId="0" borderId="17" xfId="1" applyFont="1" applyBorder="1" applyAlignment="1">
      <alignment horizontal="center"/>
    </xf>
    <xf numFmtId="169" fontId="21" fillId="0" borderId="17" xfId="1" applyNumberFormat="1" applyFont="1" applyBorder="1" applyAlignment="1">
      <alignment horizontal="center"/>
    </xf>
    <xf numFmtId="10" fontId="22" fillId="18" borderId="0" xfId="5" applyNumberFormat="1" applyFont="1" applyFill="1" applyBorder="1" applyAlignment="1">
      <alignment horizontal="left"/>
    </xf>
    <xf numFmtId="165" fontId="24" fillId="18" borderId="0" xfId="5" applyNumberFormat="1" applyFont="1" applyFill="1" applyBorder="1" applyAlignment="1">
      <alignment horizontal="center"/>
    </xf>
    <xf numFmtId="0" fontId="26" fillId="18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27" fillId="2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29" applyBorder="1" applyAlignment="1">
      <alignment horizontal="left" vertical="center"/>
    </xf>
    <xf numFmtId="0" fontId="0" fillId="18" borderId="0" xfId="0" applyFill="1" applyAlignment="1">
      <alignment horizontal="left"/>
    </xf>
    <xf numFmtId="0" fontId="21" fillId="20" borderId="17" xfId="0" applyFont="1" applyFill="1" applyBorder="1" applyAlignment="1">
      <alignment horizontal="left"/>
    </xf>
    <xf numFmtId="165" fontId="21" fillId="20" borderId="17" xfId="1" applyFont="1" applyFill="1" applyBorder="1" applyAlignment="1">
      <alignment horizontal="center"/>
    </xf>
    <xf numFmtId="169" fontId="21" fillId="20" borderId="17" xfId="1" applyNumberFormat="1" applyFont="1" applyFill="1" applyBorder="1" applyAlignment="1">
      <alignment horizontal="center"/>
    </xf>
    <xf numFmtId="165" fontId="21" fillId="20" borderId="17" xfId="1" applyFont="1" applyFill="1" applyBorder="1" applyAlignment="1">
      <alignment horizontal="right"/>
    </xf>
    <xf numFmtId="0" fontId="22" fillId="20" borderId="14" xfId="0" applyFont="1" applyFill="1" applyBorder="1" applyAlignment="1">
      <alignment horizontal="center" vertical="center" wrapText="1"/>
    </xf>
    <xf numFmtId="0" fontId="22" fillId="20" borderId="13" xfId="0" applyFont="1" applyFill="1" applyBorder="1"/>
    <xf numFmtId="0" fontId="22" fillId="20" borderId="0" xfId="0" applyFont="1" applyFill="1" applyAlignment="1">
      <alignment horizontal="center"/>
    </xf>
    <xf numFmtId="0" fontId="22" fillId="20" borderId="14" xfId="0" applyFont="1" applyFill="1" applyBorder="1"/>
    <xf numFmtId="0" fontId="22" fillId="20" borderId="0" xfId="0" applyFont="1" applyFill="1"/>
    <xf numFmtId="0" fontId="20" fillId="20" borderId="0" xfId="0" applyFont="1" applyFill="1" applyAlignment="1">
      <alignment horizontal="center"/>
    </xf>
    <xf numFmtId="167" fontId="21" fillId="20" borderId="13" xfId="0" applyNumberFormat="1" applyFont="1" applyFill="1" applyBorder="1" applyAlignment="1">
      <alignment horizontal="right"/>
    </xf>
    <xf numFmtId="167" fontId="21" fillId="20" borderId="0" xfId="0" applyNumberFormat="1" applyFont="1" applyFill="1" applyAlignment="1">
      <alignment horizontal="right"/>
    </xf>
    <xf numFmtId="164" fontId="21" fillId="20" borderId="12" xfId="5" applyNumberFormat="1" applyFont="1" applyFill="1" applyBorder="1" applyAlignment="1">
      <alignment horizontal="right"/>
    </xf>
    <xf numFmtId="166" fontId="21" fillId="20" borderId="14" xfId="1" applyNumberFormat="1" applyFont="1" applyFill="1" applyBorder="1" applyAlignment="1">
      <alignment horizontal="right"/>
    </xf>
    <xf numFmtId="9" fontId="21" fillId="20" borderId="14" xfId="5" applyFont="1" applyFill="1" applyBorder="1" applyAlignment="1">
      <alignment horizontal="right"/>
    </xf>
    <xf numFmtId="164" fontId="21" fillId="20" borderId="14" xfId="5" applyNumberFormat="1" applyFont="1" applyFill="1" applyBorder="1" applyAlignment="1">
      <alignment horizontal="right"/>
    </xf>
    <xf numFmtId="166" fontId="21" fillId="20" borderId="16" xfId="1" applyNumberFormat="1" applyFont="1" applyFill="1" applyBorder="1" applyAlignment="1">
      <alignment horizontal="right"/>
    </xf>
    <xf numFmtId="164" fontId="21" fillId="20" borderId="17" xfId="5" applyNumberFormat="1" applyFont="1" applyFill="1" applyBorder="1" applyAlignment="1">
      <alignment horizontal="right"/>
    </xf>
    <xf numFmtId="0" fontId="26" fillId="21" borderId="0" xfId="0" applyFont="1" applyFill="1" applyAlignment="1">
      <alignment horizontal="left" vertical="center"/>
    </xf>
    <xf numFmtId="0" fontId="27" fillId="21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21" fillId="22" borderId="17" xfId="0" applyFont="1" applyFill="1" applyBorder="1" applyAlignment="1">
      <alignment horizontal="left"/>
    </xf>
    <xf numFmtId="165" fontId="21" fillId="22" borderId="17" xfId="1" applyFont="1" applyFill="1" applyBorder="1" applyAlignment="1">
      <alignment horizontal="right"/>
    </xf>
    <xf numFmtId="164" fontId="21" fillId="22" borderId="17" xfId="5" applyNumberFormat="1" applyFont="1" applyFill="1" applyBorder="1" applyAlignment="1">
      <alignment horizontal="right"/>
    </xf>
    <xf numFmtId="0" fontId="20" fillId="19" borderId="10" xfId="0" applyFont="1" applyFill="1" applyBorder="1" applyAlignment="1">
      <alignment horizontal="center"/>
    </xf>
    <xf numFmtId="168" fontId="14" fillId="3" borderId="17" xfId="0" applyNumberFormat="1" applyFont="1" applyFill="1" applyBorder="1" applyAlignment="1">
      <alignment horizontal="center"/>
    </xf>
  </cellXfs>
  <cellStyles count="49">
    <cellStyle name="20% - Ênfase1" xfId="6" xr:uid="{00000000-0005-0000-0000-000006000000}"/>
    <cellStyle name="20% - Ênfase2" xfId="7" xr:uid="{00000000-0005-0000-0000-000007000000}"/>
    <cellStyle name="20% - Ênfase3" xfId="8" xr:uid="{00000000-0005-0000-0000-000008000000}"/>
    <cellStyle name="20% - Ênfase4" xfId="9" xr:uid="{00000000-0005-0000-0000-000009000000}"/>
    <cellStyle name="20% - Ênfase5" xfId="10" xr:uid="{00000000-0005-0000-0000-00000A000000}"/>
    <cellStyle name="20% - Ênfase6" xfId="11" xr:uid="{00000000-0005-0000-0000-00000B000000}"/>
    <cellStyle name="40% - Ênfase1" xfId="12" xr:uid="{00000000-0005-0000-0000-00000C000000}"/>
    <cellStyle name="40% - Ênfase2" xfId="13" xr:uid="{00000000-0005-0000-0000-00000D000000}"/>
    <cellStyle name="40% - Ênfase3" xfId="14" xr:uid="{00000000-0005-0000-0000-00000E000000}"/>
    <cellStyle name="40% - Ênfase4" xfId="15" xr:uid="{00000000-0005-0000-0000-00000F000000}"/>
    <cellStyle name="40% - Ênfase5" xfId="16" xr:uid="{00000000-0005-0000-0000-000010000000}"/>
    <cellStyle name="40% - Ênfase6" xfId="17" xr:uid="{00000000-0005-0000-0000-000011000000}"/>
    <cellStyle name="60% - Ênfase1" xfId="18" xr:uid="{00000000-0005-0000-0000-000012000000}"/>
    <cellStyle name="60% - Ênfase2" xfId="19" xr:uid="{00000000-0005-0000-0000-000013000000}"/>
    <cellStyle name="60% - Ênfase3" xfId="20" xr:uid="{00000000-0005-0000-0000-000014000000}"/>
    <cellStyle name="60% - Ênfase4" xfId="21" xr:uid="{00000000-0005-0000-0000-000015000000}"/>
    <cellStyle name="60% - Ênfase5" xfId="22" xr:uid="{00000000-0005-0000-0000-000016000000}"/>
    <cellStyle name="60% - Ênfase6" xfId="23" xr:uid="{00000000-0005-0000-0000-000017000000}"/>
    <cellStyle name="Bom" xfId="24" xr:uid="{00000000-0005-0000-0000-000018000000}"/>
    <cellStyle name="Cálculo" xfId="25" xr:uid="{00000000-0005-0000-0000-000019000000}"/>
    <cellStyle name="Célula de Verificação" xfId="26" xr:uid="{00000000-0005-0000-0000-00001A000000}"/>
    <cellStyle name="Célula Vinculada" xfId="27" xr:uid="{00000000-0005-0000-0000-00001B000000}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Ênfase1" xfId="43" xr:uid="{00000000-0005-0000-0000-00002B000000}"/>
    <cellStyle name="Ênfase2" xfId="44" xr:uid="{00000000-0005-0000-0000-00002C000000}"/>
    <cellStyle name="Ênfase3" xfId="45" xr:uid="{00000000-0005-0000-0000-00002D000000}"/>
    <cellStyle name="Ênfase4" xfId="46" xr:uid="{00000000-0005-0000-0000-00002E000000}"/>
    <cellStyle name="Ênfase5" xfId="47" xr:uid="{00000000-0005-0000-0000-00002F000000}"/>
    <cellStyle name="Ênfase6" xfId="48" xr:uid="{00000000-0005-0000-0000-000030000000}"/>
    <cellStyle name="Entrada" xfId="28" xr:uid="{00000000-0005-0000-0000-00001C000000}"/>
    <cellStyle name="Hiperlink" xfId="29" xr:uid="{00000000-0005-0000-0000-00001D000000}"/>
    <cellStyle name="Hiperlink Visitado" xfId="30" xr:uid="{00000000-0005-0000-0000-00001E000000}"/>
    <cellStyle name="Neutro" xfId="31" xr:uid="{00000000-0005-0000-0000-00001F000000}"/>
    <cellStyle name="Normal" xfId="0" builtinId="0"/>
    <cellStyle name="Nota" xfId="32" xr:uid="{00000000-0005-0000-0000-000020000000}"/>
    <cellStyle name="Percent" xfId="5" xr:uid="{00000000-0005-0000-0000-000005000000}"/>
    <cellStyle name="Ruim" xfId="33" xr:uid="{00000000-0005-0000-0000-000021000000}"/>
    <cellStyle name="Saída" xfId="34" xr:uid="{00000000-0005-0000-0000-000022000000}"/>
    <cellStyle name="Texto de Aviso" xfId="35" xr:uid="{00000000-0005-0000-0000-000023000000}"/>
    <cellStyle name="Texto Explicativo" xfId="36" xr:uid="{00000000-0005-0000-0000-000024000000}"/>
    <cellStyle name="Título" xfId="38" xr:uid="{00000000-0005-0000-0000-000026000000}"/>
    <cellStyle name="Título 1" xfId="39" xr:uid="{00000000-0005-0000-0000-000027000000}"/>
    <cellStyle name="Título 2" xfId="40" xr:uid="{00000000-0005-0000-0000-000028000000}"/>
    <cellStyle name="Título 3" xfId="41" xr:uid="{00000000-0005-0000-0000-000029000000}"/>
    <cellStyle name="Título 4" xfId="42" xr:uid="{00000000-0005-0000-0000-00002A000000}"/>
    <cellStyle name="Total" xfId="37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destaq_atacado/" TargetMode="External"/><Relationship Id="rId3" Type="http://schemas.openxmlformats.org/officeDocument/2006/relationships/hyperlink" Target="https://www.keita.com.br/" TargetMode="External"/><Relationship Id="rId7" Type="http://schemas.openxmlformats.org/officeDocument/2006/relationships/hyperlink" Target="https://weiimportoficial.com/" TargetMode="External"/><Relationship Id="rId2" Type="http://schemas.openxmlformats.org/officeDocument/2006/relationships/hyperlink" Target="https://www.atacadonipocenter.com.br/" TargetMode="External"/><Relationship Id="rId1" Type="http://schemas.openxmlformats.org/officeDocument/2006/relationships/hyperlink" Target="https://www.instagram.com/imporiente_oficial/?hl=em" TargetMode="External"/><Relationship Id="rId6" Type="http://schemas.openxmlformats.org/officeDocument/2006/relationships/hyperlink" Target="https://www.instagram.com/toprio_importadora_ofc/?hl=em" TargetMode="External"/><Relationship Id="rId5" Type="http://schemas.openxmlformats.org/officeDocument/2006/relationships/hyperlink" Target="https://www.goldenartefatosdemadeira.com/" TargetMode="External"/><Relationship Id="rId4" Type="http://schemas.openxmlformats.org/officeDocument/2006/relationships/hyperlink" Target="https://kehome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1"/>
  <sheetViews>
    <sheetView workbookViewId="0">
      <selection activeCell="D16" sqref="D16"/>
    </sheetView>
  </sheetViews>
  <sheetFormatPr baseColWidth="10" defaultColWidth="10.83203125" defaultRowHeight="16" x14ac:dyDescent="0.2"/>
  <cols>
    <col min="1" max="1" width="10.83203125" style="1"/>
    <col min="2" max="2" width="16.5" style="1" customWidth="1"/>
    <col min="3" max="3" width="12.1640625" style="1" customWidth="1"/>
    <col min="4" max="4" width="17.33203125" style="1" customWidth="1"/>
    <col min="5" max="5" width="12.83203125" style="1" customWidth="1"/>
    <col min="6" max="8" width="10.83203125" style="1"/>
    <col min="9" max="10" width="14.6640625" style="1" customWidth="1"/>
    <col min="11" max="12" width="13.83203125" style="1" customWidth="1"/>
    <col min="13" max="257" width="10.83203125" style="1"/>
  </cols>
  <sheetData>
    <row r="1" spans="2:14" x14ac:dyDescent="0.2">
      <c r="F1" s="2"/>
    </row>
    <row r="2" spans="2:14" x14ac:dyDescent="0.2">
      <c r="B2" s="53" t="s">
        <v>0</v>
      </c>
      <c r="C2" s="53"/>
    </row>
    <row r="3" spans="2:14" x14ac:dyDescent="0.2">
      <c r="B3" s="3" t="s">
        <v>1</v>
      </c>
      <c r="C3" s="41">
        <v>0.05</v>
      </c>
    </row>
    <row r="4" spans="2:14" x14ac:dyDescent="0.2">
      <c r="B4" s="4" t="s">
        <v>2</v>
      </c>
      <c r="C4" s="42">
        <v>1.3</v>
      </c>
    </row>
    <row r="5" spans="2:14" x14ac:dyDescent="0.2">
      <c r="B5" s="4" t="s">
        <v>3</v>
      </c>
      <c r="C5" s="43">
        <v>0</v>
      </c>
      <c r="D5" s="1" t="s">
        <v>4</v>
      </c>
    </row>
    <row r="6" spans="2:14" x14ac:dyDescent="0.2">
      <c r="B6" s="4" t="s">
        <v>5</v>
      </c>
      <c r="C6" s="44">
        <v>0.04</v>
      </c>
    </row>
    <row r="7" spans="2:14" x14ac:dyDescent="0.2">
      <c r="B7" s="5" t="s">
        <v>6</v>
      </c>
      <c r="C7" s="45">
        <v>6</v>
      </c>
      <c r="D7" s="1" t="s">
        <v>7</v>
      </c>
    </row>
    <row r="9" spans="2:14" x14ac:dyDescent="0.2">
      <c r="B9" s="6" t="s">
        <v>8</v>
      </c>
      <c r="C9" s="6" t="s">
        <v>9</v>
      </c>
      <c r="D9" s="6" t="s">
        <v>10</v>
      </c>
      <c r="E9" s="6" t="s">
        <v>11</v>
      </c>
      <c r="F9" s="6" t="s">
        <v>3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2"/>
    </row>
    <row r="10" spans="2:14" x14ac:dyDescent="0.2">
      <c r="B10" s="29" t="s">
        <v>18</v>
      </c>
      <c r="C10" s="29" t="s">
        <v>19</v>
      </c>
      <c r="D10" s="32">
        <v>12.5</v>
      </c>
      <c r="E10" s="32">
        <v>33.9</v>
      </c>
      <c r="F10" s="32">
        <f>E10*$C$5</f>
        <v>0</v>
      </c>
      <c r="G10" s="32">
        <f>$C$4</f>
        <v>1.3</v>
      </c>
      <c r="H10" s="32">
        <f>$C$7</f>
        <v>6</v>
      </c>
      <c r="I10" s="32">
        <f>E10*$C$6</f>
        <v>1.3559999999999999</v>
      </c>
      <c r="J10" s="46">
        <f>IFERROR((E10-D10-F10-G10-H10-I10)/E10,0)</f>
        <v>0.37592920353982295</v>
      </c>
      <c r="K10" s="32">
        <f>E10*$C$3</f>
        <v>1.6950000000000001</v>
      </c>
      <c r="L10" s="46">
        <f>IFERROR((E10-D10-F10-G10-H10-I10-K10)/E10,0)</f>
        <v>0.32592920353982296</v>
      </c>
      <c r="N10" s="2"/>
    </row>
    <row r="11" spans="2:14" x14ac:dyDescent="0.2">
      <c r="B11" s="50"/>
      <c r="C11" s="50"/>
      <c r="D11" s="51"/>
      <c r="E11" s="51"/>
      <c r="F11" s="51">
        <f t="shared" ref="F11:F61" si="0">E11*$C$5</f>
        <v>0</v>
      </c>
      <c r="G11" s="51">
        <f t="shared" ref="G11:G61" si="1">$C$4</f>
        <v>1.3</v>
      </c>
      <c r="H11" s="51">
        <f t="shared" ref="H11:H61" si="2">$C$7</f>
        <v>6</v>
      </c>
      <c r="I11" s="51">
        <f t="shared" ref="I11:I61" si="3">E11*$C$6</f>
        <v>0</v>
      </c>
      <c r="J11" s="52">
        <f t="shared" ref="J11:J61" si="4">IFERROR((E11-D11-F11-G11-H11-I11)/E11,0)</f>
        <v>0</v>
      </c>
      <c r="K11" s="51">
        <f t="shared" ref="K11:K61" si="5">E11*$C$3</f>
        <v>0</v>
      </c>
      <c r="L11" s="52">
        <f t="shared" ref="L11:L61" si="6">IFERROR((E11-D11-F11-G11-H11-I11-K11)/E11,0)</f>
        <v>0</v>
      </c>
    </row>
    <row r="12" spans="2:14" x14ac:dyDescent="0.2">
      <c r="B12" s="29"/>
      <c r="C12" s="29"/>
      <c r="D12" s="32"/>
      <c r="E12" s="32"/>
      <c r="F12" s="32">
        <f t="shared" si="0"/>
        <v>0</v>
      </c>
      <c r="G12" s="32">
        <f t="shared" si="1"/>
        <v>1.3</v>
      </c>
      <c r="H12" s="32">
        <f t="shared" si="2"/>
        <v>6</v>
      </c>
      <c r="I12" s="32">
        <f t="shared" si="3"/>
        <v>0</v>
      </c>
      <c r="J12" s="46">
        <f t="shared" si="4"/>
        <v>0</v>
      </c>
      <c r="K12" s="32">
        <f t="shared" si="5"/>
        <v>0</v>
      </c>
      <c r="L12" s="46">
        <f t="shared" si="6"/>
        <v>0</v>
      </c>
    </row>
    <row r="13" spans="2:14" x14ac:dyDescent="0.2">
      <c r="B13" s="50"/>
      <c r="C13" s="50"/>
      <c r="D13" s="51"/>
      <c r="E13" s="51"/>
      <c r="F13" s="51">
        <f t="shared" si="0"/>
        <v>0</v>
      </c>
      <c r="G13" s="51">
        <f t="shared" si="1"/>
        <v>1.3</v>
      </c>
      <c r="H13" s="51">
        <f t="shared" si="2"/>
        <v>6</v>
      </c>
      <c r="I13" s="51">
        <f t="shared" si="3"/>
        <v>0</v>
      </c>
      <c r="J13" s="52">
        <f t="shared" si="4"/>
        <v>0</v>
      </c>
      <c r="K13" s="51">
        <f t="shared" si="5"/>
        <v>0</v>
      </c>
      <c r="L13" s="52">
        <f t="shared" si="6"/>
        <v>0</v>
      </c>
    </row>
    <row r="14" spans="2:14" x14ac:dyDescent="0.2">
      <c r="B14" s="29"/>
      <c r="C14" s="29"/>
      <c r="D14" s="32"/>
      <c r="E14" s="32"/>
      <c r="F14" s="32">
        <f t="shared" si="0"/>
        <v>0</v>
      </c>
      <c r="G14" s="32">
        <f t="shared" si="1"/>
        <v>1.3</v>
      </c>
      <c r="H14" s="32">
        <f t="shared" si="2"/>
        <v>6</v>
      </c>
      <c r="I14" s="32">
        <f t="shared" si="3"/>
        <v>0</v>
      </c>
      <c r="J14" s="46">
        <f t="shared" si="4"/>
        <v>0</v>
      </c>
      <c r="K14" s="32">
        <f t="shared" si="5"/>
        <v>0</v>
      </c>
      <c r="L14" s="46">
        <f t="shared" si="6"/>
        <v>0</v>
      </c>
    </row>
    <row r="15" spans="2:14" x14ac:dyDescent="0.2">
      <c r="B15" s="50"/>
      <c r="C15" s="50"/>
      <c r="D15" s="51"/>
      <c r="E15" s="51"/>
      <c r="F15" s="51">
        <f t="shared" si="0"/>
        <v>0</v>
      </c>
      <c r="G15" s="51">
        <f t="shared" si="1"/>
        <v>1.3</v>
      </c>
      <c r="H15" s="51">
        <f t="shared" si="2"/>
        <v>6</v>
      </c>
      <c r="I15" s="51">
        <f t="shared" si="3"/>
        <v>0</v>
      </c>
      <c r="J15" s="52">
        <f t="shared" si="4"/>
        <v>0</v>
      </c>
      <c r="K15" s="51">
        <f t="shared" si="5"/>
        <v>0</v>
      </c>
      <c r="L15" s="52">
        <f t="shared" si="6"/>
        <v>0</v>
      </c>
    </row>
    <row r="16" spans="2:14" x14ac:dyDescent="0.2">
      <c r="B16" s="29"/>
      <c r="C16" s="29"/>
      <c r="D16" s="32"/>
      <c r="E16" s="32"/>
      <c r="F16" s="32">
        <f t="shared" si="0"/>
        <v>0</v>
      </c>
      <c r="G16" s="32">
        <f t="shared" si="1"/>
        <v>1.3</v>
      </c>
      <c r="H16" s="32">
        <f t="shared" si="2"/>
        <v>6</v>
      </c>
      <c r="I16" s="32">
        <f t="shared" si="3"/>
        <v>0</v>
      </c>
      <c r="J16" s="46">
        <f t="shared" si="4"/>
        <v>0</v>
      </c>
      <c r="K16" s="32">
        <f t="shared" si="5"/>
        <v>0</v>
      </c>
      <c r="L16" s="46">
        <f t="shared" si="6"/>
        <v>0</v>
      </c>
    </row>
    <row r="17" spans="2:12" x14ac:dyDescent="0.2">
      <c r="B17" s="50"/>
      <c r="C17" s="50"/>
      <c r="D17" s="51"/>
      <c r="E17" s="51"/>
      <c r="F17" s="51">
        <f t="shared" si="0"/>
        <v>0</v>
      </c>
      <c r="G17" s="51">
        <f t="shared" si="1"/>
        <v>1.3</v>
      </c>
      <c r="H17" s="51">
        <f t="shared" si="2"/>
        <v>6</v>
      </c>
      <c r="I17" s="51">
        <f t="shared" si="3"/>
        <v>0</v>
      </c>
      <c r="J17" s="52">
        <f t="shared" si="4"/>
        <v>0</v>
      </c>
      <c r="K17" s="51">
        <f t="shared" si="5"/>
        <v>0</v>
      </c>
      <c r="L17" s="52">
        <f t="shared" si="6"/>
        <v>0</v>
      </c>
    </row>
    <row r="18" spans="2:12" x14ac:dyDescent="0.2">
      <c r="B18" s="29"/>
      <c r="C18" s="29"/>
      <c r="D18" s="32"/>
      <c r="E18" s="32"/>
      <c r="F18" s="32">
        <f t="shared" si="0"/>
        <v>0</v>
      </c>
      <c r="G18" s="32">
        <f t="shared" si="1"/>
        <v>1.3</v>
      </c>
      <c r="H18" s="32">
        <f t="shared" si="2"/>
        <v>6</v>
      </c>
      <c r="I18" s="32">
        <f t="shared" si="3"/>
        <v>0</v>
      </c>
      <c r="J18" s="46">
        <f t="shared" si="4"/>
        <v>0</v>
      </c>
      <c r="K18" s="32">
        <f t="shared" si="5"/>
        <v>0</v>
      </c>
      <c r="L18" s="46">
        <f t="shared" si="6"/>
        <v>0</v>
      </c>
    </row>
    <row r="19" spans="2:12" x14ac:dyDescent="0.2">
      <c r="B19" s="50"/>
      <c r="C19" s="50"/>
      <c r="D19" s="51"/>
      <c r="E19" s="51"/>
      <c r="F19" s="51">
        <f t="shared" si="0"/>
        <v>0</v>
      </c>
      <c r="G19" s="51">
        <f t="shared" si="1"/>
        <v>1.3</v>
      </c>
      <c r="H19" s="51">
        <f t="shared" si="2"/>
        <v>6</v>
      </c>
      <c r="I19" s="51">
        <f t="shared" si="3"/>
        <v>0</v>
      </c>
      <c r="J19" s="52">
        <f t="shared" si="4"/>
        <v>0</v>
      </c>
      <c r="K19" s="51">
        <f t="shared" si="5"/>
        <v>0</v>
      </c>
      <c r="L19" s="52">
        <f t="shared" si="6"/>
        <v>0</v>
      </c>
    </row>
    <row r="20" spans="2:12" x14ac:dyDescent="0.2">
      <c r="B20" s="29"/>
      <c r="C20" s="29"/>
      <c r="D20" s="32"/>
      <c r="E20" s="32"/>
      <c r="F20" s="32">
        <f t="shared" si="0"/>
        <v>0</v>
      </c>
      <c r="G20" s="32">
        <f t="shared" si="1"/>
        <v>1.3</v>
      </c>
      <c r="H20" s="32">
        <f t="shared" si="2"/>
        <v>6</v>
      </c>
      <c r="I20" s="32">
        <f t="shared" si="3"/>
        <v>0</v>
      </c>
      <c r="J20" s="46">
        <f t="shared" si="4"/>
        <v>0</v>
      </c>
      <c r="K20" s="32">
        <f t="shared" si="5"/>
        <v>0</v>
      </c>
      <c r="L20" s="46">
        <f t="shared" si="6"/>
        <v>0</v>
      </c>
    </row>
    <row r="21" spans="2:12" x14ac:dyDescent="0.2">
      <c r="B21" s="50"/>
      <c r="C21" s="50"/>
      <c r="D21" s="51"/>
      <c r="E21" s="51"/>
      <c r="F21" s="51">
        <f t="shared" si="0"/>
        <v>0</v>
      </c>
      <c r="G21" s="51">
        <f t="shared" si="1"/>
        <v>1.3</v>
      </c>
      <c r="H21" s="51">
        <f t="shared" si="2"/>
        <v>6</v>
      </c>
      <c r="I21" s="51">
        <f t="shared" si="3"/>
        <v>0</v>
      </c>
      <c r="J21" s="52">
        <f t="shared" si="4"/>
        <v>0</v>
      </c>
      <c r="K21" s="51">
        <f t="shared" si="5"/>
        <v>0</v>
      </c>
      <c r="L21" s="52">
        <f t="shared" si="6"/>
        <v>0</v>
      </c>
    </row>
    <row r="22" spans="2:12" x14ac:dyDescent="0.2">
      <c r="B22" s="29"/>
      <c r="C22" s="29"/>
      <c r="D22" s="32"/>
      <c r="E22" s="32"/>
      <c r="F22" s="32">
        <f t="shared" si="0"/>
        <v>0</v>
      </c>
      <c r="G22" s="32">
        <f t="shared" si="1"/>
        <v>1.3</v>
      </c>
      <c r="H22" s="32">
        <f t="shared" si="2"/>
        <v>6</v>
      </c>
      <c r="I22" s="32">
        <f t="shared" si="3"/>
        <v>0</v>
      </c>
      <c r="J22" s="46">
        <f t="shared" si="4"/>
        <v>0</v>
      </c>
      <c r="K22" s="32">
        <f t="shared" si="5"/>
        <v>0</v>
      </c>
      <c r="L22" s="46">
        <f t="shared" si="6"/>
        <v>0</v>
      </c>
    </row>
    <row r="23" spans="2:12" x14ac:dyDescent="0.2">
      <c r="B23" s="50"/>
      <c r="C23" s="50"/>
      <c r="D23" s="51"/>
      <c r="E23" s="51"/>
      <c r="F23" s="51">
        <f t="shared" si="0"/>
        <v>0</v>
      </c>
      <c r="G23" s="51">
        <f t="shared" si="1"/>
        <v>1.3</v>
      </c>
      <c r="H23" s="51">
        <f t="shared" si="2"/>
        <v>6</v>
      </c>
      <c r="I23" s="51">
        <f t="shared" si="3"/>
        <v>0</v>
      </c>
      <c r="J23" s="52">
        <f t="shared" si="4"/>
        <v>0</v>
      </c>
      <c r="K23" s="51">
        <f t="shared" si="5"/>
        <v>0</v>
      </c>
      <c r="L23" s="52">
        <f t="shared" si="6"/>
        <v>0</v>
      </c>
    </row>
    <row r="24" spans="2:12" x14ac:dyDescent="0.2">
      <c r="B24" s="29"/>
      <c r="C24" s="29"/>
      <c r="D24" s="32"/>
      <c r="E24" s="32"/>
      <c r="F24" s="32">
        <f t="shared" si="0"/>
        <v>0</v>
      </c>
      <c r="G24" s="32">
        <f t="shared" si="1"/>
        <v>1.3</v>
      </c>
      <c r="H24" s="32">
        <f t="shared" si="2"/>
        <v>6</v>
      </c>
      <c r="I24" s="32">
        <f t="shared" si="3"/>
        <v>0</v>
      </c>
      <c r="J24" s="46">
        <f t="shared" si="4"/>
        <v>0</v>
      </c>
      <c r="K24" s="32">
        <f t="shared" si="5"/>
        <v>0</v>
      </c>
      <c r="L24" s="46">
        <f t="shared" si="6"/>
        <v>0</v>
      </c>
    </row>
    <row r="25" spans="2:12" x14ac:dyDescent="0.2">
      <c r="B25" s="50"/>
      <c r="C25" s="50"/>
      <c r="D25" s="51"/>
      <c r="E25" s="51"/>
      <c r="F25" s="51">
        <f t="shared" si="0"/>
        <v>0</v>
      </c>
      <c r="G25" s="51">
        <f t="shared" si="1"/>
        <v>1.3</v>
      </c>
      <c r="H25" s="51">
        <f t="shared" si="2"/>
        <v>6</v>
      </c>
      <c r="I25" s="51">
        <f t="shared" si="3"/>
        <v>0</v>
      </c>
      <c r="J25" s="52">
        <f t="shared" si="4"/>
        <v>0</v>
      </c>
      <c r="K25" s="51">
        <f t="shared" si="5"/>
        <v>0</v>
      </c>
      <c r="L25" s="52">
        <f t="shared" si="6"/>
        <v>0</v>
      </c>
    </row>
    <row r="26" spans="2:12" x14ac:dyDescent="0.2">
      <c r="B26" s="29"/>
      <c r="C26" s="29"/>
      <c r="D26" s="32"/>
      <c r="E26" s="32"/>
      <c r="F26" s="32">
        <f t="shared" si="0"/>
        <v>0</v>
      </c>
      <c r="G26" s="32">
        <f t="shared" si="1"/>
        <v>1.3</v>
      </c>
      <c r="H26" s="32">
        <f t="shared" si="2"/>
        <v>6</v>
      </c>
      <c r="I26" s="32">
        <f t="shared" si="3"/>
        <v>0</v>
      </c>
      <c r="J26" s="46">
        <f t="shared" si="4"/>
        <v>0</v>
      </c>
      <c r="K26" s="32">
        <f t="shared" si="5"/>
        <v>0</v>
      </c>
      <c r="L26" s="46">
        <f t="shared" si="6"/>
        <v>0</v>
      </c>
    </row>
    <row r="27" spans="2:12" x14ac:dyDescent="0.2">
      <c r="B27" s="50"/>
      <c r="C27" s="50"/>
      <c r="D27" s="51"/>
      <c r="E27" s="51"/>
      <c r="F27" s="51">
        <f t="shared" si="0"/>
        <v>0</v>
      </c>
      <c r="G27" s="51">
        <f t="shared" si="1"/>
        <v>1.3</v>
      </c>
      <c r="H27" s="51">
        <f t="shared" si="2"/>
        <v>6</v>
      </c>
      <c r="I27" s="51">
        <f t="shared" si="3"/>
        <v>0</v>
      </c>
      <c r="J27" s="52">
        <f t="shared" si="4"/>
        <v>0</v>
      </c>
      <c r="K27" s="51">
        <f t="shared" si="5"/>
        <v>0</v>
      </c>
      <c r="L27" s="52">
        <f t="shared" si="6"/>
        <v>0</v>
      </c>
    </row>
    <row r="28" spans="2:12" x14ac:dyDescent="0.2">
      <c r="B28" s="29"/>
      <c r="C28" s="29"/>
      <c r="D28" s="32"/>
      <c r="E28" s="32"/>
      <c r="F28" s="32">
        <f t="shared" si="0"/>
        <v>0</v>
      </c>
      <c r="G28" s="32">
        <f t="shared" si="1"/>
        <v>1.3</v>
      </c>
      <c r="H28" s="32">
        <f t="shared" si="2"/>
        <v>6</v>
      </c>
      <c r="I28" s="32">
        <f t="shared" si="3"/>
        <v>0</v>
      </c>
      <c r="J28" s="46">
        <f t="shared" si="4"/>
        <v>0</v>
      </c>
      <c r="K28" s="32">
        <f t="shared" si="5"/>
        <v>0</v>
      </c>
      <c r="L28" s="46">
        <f t="shared" si="6"/>
        <v>0</v>
      </c>
    </row>
    <row r="29" spans="2:12" x14ac:dyDescent="0.2">
      <c r="B29" s="50"/>
      <c r="C29" s="50"/>
      <c r="D29" s="51"/>
      <c r="E29" s="51"/>
      <c r="F29" s="51">
        <f t="shared" si="0"/>
        <v>0</v>
      </c>
      <c r="G29" s="51">
        <f t="shared" si="1"/>
        <v>1.3</v>
      </c>
      <c r="H29" s="51">
        <f t="shared" si="2"/>
        <v>6</v>
      </c>
      <c r="I29" s="51">
        <f t="shared" si="3"/>
        <v>0</v>
      </c>
      <c r="J29" s="52">
        <f t="shared" si="4"/>
        <v>0</v>
      </c>
      <c r="K29" s="51">
        <f t="shared" si="5"/>
        <v>0</v>
      </c>
      <c r="L29" s="52">
        <f t="shared" si="6"/>
        <v>0</v>
      </c>
    </row>
    <row r="30" spans="2:12" x14ac:dyDescent="0.2">
      <c r="B30" s="29"/>
      <c r="C30" s="29"/>
      <c r="D30" s="32"/>
      <c r="E30" s="32"/>
      <c r="F30" s="32">
        <f t="shared" si="0"/>
        <v>0</v>
      </c>
      <c r="G30" s="32">
        <f t="shared" si="1"/>
        <v>1.3</v>
      </c>
      <c r="H30" s="32">
        <f t="shared" si="2"/>
        <v>6</v>
      </c>
      <c r="I30" s="32">
        <f t="shared" si="3"/>
        <v>0</v>
      </c>
      <c r="J30" s="46">
        <f t="shared" si="4"/>
        <v>0</v>
      </c>
      <c r="K30" s="32">
        <f t="shared" si="5"/>
        <v>0</v>
      </c>
      <c r="L30" s="46">
        <f t="shared" si="6"/>
        <v>0</v>
      </c>
    </row>
    <row r="31" spans="2:12" x14ac:dyDescent="0.2">
      <c r="B31" s="50"/>
      <c r="C31" s="50"/>
      <c r="D31" s="51"/>
      <c r="E31" s="51"/>
      <c r="F31" s="51">
        <f t="shared" si="0"/>
        <v>0</v>
      </c>
      <c r="G31" s="51">
        <f t="shared" si="1"/>
        <v>1.3</v>
      </c>
      <c r="H31" s="51">
        <f t="shared" si="2"/>
        <v>6</v>
      </c>
      <c r="I31" s="51">
        <f t="shared" si="3"/>
        <v>0</v>
      </c>
      <c r="J31" s="52">
        <f t="shared" si="4"/>
        <v>0</v>
      </c>
      <c r="K31" s="51">
        <f t="shared" si="5"/>
        <v>0</v>
      </c>
      <c r="L31" s="52">
        <f t="shared" si="6"/>
        <v>0</v>
      </c>
    </row>
    <row r="32" spans="2:12" x14ac:dyDescent="0.2">
      <c r="B32" s="29"/>
      <c r="C32" s="29"/>
      <c r="D32" s="32"/>
      <c r="E32" s="32"/>
      <c r="F32" s="32">
        <f t="shared" si="0"/>
        <v>0</v>
      </c>
      <c r="G32" s="32">
        <f t="shared" si="1"/>
        <v>1.3</v>
      </c>
      <c r="H32" s="32">
        <f t="shared" si="2"/>
        <v>6</v>
      </c>
      <c r="I32" s="32">
        <f t="shared" si="3"/>
        <v>0</v>
      </c>
      <c r="J32" s="46">
        <f t="shared" si="4"/>
        <v>0</v>
      </c>
      <c r="K32" s="32">
        <f t="shared" si="5"/>
        <v>0</v>
      </c>
      <c r="L32" s="46">
        <f t="shared" si="6"/>
        <v>0</v>
      </c>
    </row>
    <row r="33" spans="2:12" x14ac:dyDescent="0.2">
      <c r="B33" s="50"/>
      <c r="C33" s="50"/>
      <c r="D33" s="51"/>
      <c r="E33" s="51"/>
      <c r="F33" s="51">
        <f t="shared" si="0"/>
        <v>0</v>
      </c>
      <c r="G33" s="51">
        <f t="shared" si="1"/>
        <v>1.3</v>
      </c>
      <c r="H33" s="51">
        <f t="shared" si="2"/>
        <v>6</v>
      </c>
      <c r="I33" s="51">
        <f t="shared" si="3"/>
        <v>0</v>
      </c>
      <c r="J33" s="52">
        <f t="shared" si="4"/>
        <v>0</v>
      </c>
      <c r="K33" s="51">
        <f t="shared" si="5"/>
        <v>0</v>
      </c>
      <c r="L33" s="52">
        <f t="shared" si="6"/>
        <v>0</v>
      </c>
    </row>
    <row r="34" spans="2:12" x14ac:dyDescent="0.2">
      <c r="B34" s="29"/>
      <c r="C34" s="29"/>
      <c r="D34" s="32"/>
      <c r="E34" s="32"/>
      <c r="F34" s="32">
        <f t="shared" si="0"/>
        <v>0</v>
      </c>
      <c r="G34" s="32">
        <f t="shared" si="1"/>
        <v>1.3</v>
      </c>
      <c r="H34" s="32">
        <f t="shared" si="2"/>
        <v>6</v>
      </c>
      <c r="I34" s="32">
        <f t="shared" si="3"/>
        <v>0</v>
      </c>
      <c r="J34" s="46">
        <f t="shared" si="4"/>
        <v>0</v>
      </c>
      <c r="K34" s="32">
        <f t="shared" si="5"/>
        <v>0</v>
      </c>
      <c r="L34" s="46">
        <f t="shared" si="6"/>
        <v>0</v>
      </c>
    </row>
    <row r="35" spans="2:12" x14ac:dyDescent="0.2">
      <c r="B35" s="50"/>
      <c r="C35" s="50"/>
      <c r="D35" s="51"/>
      <c r="E35" s="51"/>
      <c r="F35" s="51">
        <f t="shared" si="0"/>
        <v>0</v>
      </c>
      <c r="G35" s="51">
        <f t="shared" si="1"/>
        <v>1.3</v>
      </c>
      <c r="H35" s="51">
        <f t="shared" si="2"/>
        <v>6</v>
      </c>
      <c r="I35" s="51">
        <f t="shared" si="3"/>
        <v>0</v>
      </c>
      <c r="J35" s="52">
        <f t="shared" si="4"/>
        <v>0</v>
      </c>
      <c r="K35" s="51">
        <f t="shared" si="5"/>
        <v>0</v>
      </c>
      <c r="L35" s="52">
        <f t="shared" si="6"/>
        <v>0</v>
      </c>
    </row>
    <row r="36" spans="2:12" x14ac:dyDescent="0.2">
      <c r="B36" s="29"/>
      <c r="C36" s="29"/>
      <c r="D36" s="32"/>
      <c r="E36" s="32"/>
      <c r="F36" s="32">
        <f t="shared" si="0"/>
        <v>0</v>
      </c>
      <c r="G36" s="32">
        <f t="shared" si="1"/>
        <v>1.3</v>
      </c>
      <c r="H36" s="32">
        <f t="shared" si="2"/>
        <v>6</v>
      </c>
      <c r="I36" s="32">
        <f t="shared" si="3"/>
        <v>0</v>
      </c>
      <c r="J36" s="46">
        <f t="shared" si="4"/>
        <v>0</v>
      </c>
      <c r="K36" s="32">
        <f t="shared" si="5"/>
        <v>0</v>
      </c>
      <c r="L36" s="46">
        <f t="shared" si="6"/>
        <v>0</v>
      </c>
    </row>
    <row r="37" spans="2:12" x14ac:dyDescent="0.2">
      <c r="B37" s="50"/>
      <c r="C37" s="50"/>
      <c r="D37" s="51"/>
      <c r="E37" s="51"/>
      <c r="F37" s="51">
        <f t="shared" si="0"/>
        <v>0</v>
      </c>
      <c r="G37" s="51">
        <f t="shared" si="1"/>
        <v>1.3</v>
      </c>
      <c r="H37" s="51">
        <f t="shared" si="2"/>
        <v>6</v>
      </c>
      <c r="I37" s="51">
        <f t="shared" si="3"/>
        <v>0</v>
      </c>
      <c r="J37" s="52">
        <f t="shared" si="4"/>
        <v>0</v>
      </c>
      <c r="K37" s="51">
        <f t="shared" si="5"/>
        <v>0</v>
      </c>
      <c r="L37" s="52">
        <f t="shared" si="6"/>
        <v>0</v>
      </c>
    </row>
    <row r="38" spans="2:12" x14ac:dyDescent="0.2">
      <c r="B38" s="29"/>
      <c r="C38" s="29"/>
      <c r="D38" s="32"/>
      <c r="E38" s="32"/>
      <c r="F38" s="32">
        <f t="shared" si="0"/>
        <v>0</v>
      </c>
      <c r="G38" s="32">
        <f t="shared" si="1"/>
        <v>1.3</v>
      </c>
      <c r="H38" s="32">
        <f t="shared" si="2"/>
        <v>6</v>
      </c>
      <c r="I38" s="32">
        <f t="shared" si="3"/>
        <v>0</v>
      </c>
      <c r="J38" s="46">
        <f t="shared" si="4"/>
        <v>0</v>
      </c>
      <c r="K38" s="32">
        <f t="shared" si="5"/>
        <v>0</v>
      </c>
      <c r="L38" s="46">
        <f t="shared" si="6"/>
        <v>0</v>
      </c>
    </row>
    <row r="39" spans="2:12" x14ac:dyDescent="0.2">
      <c r="B39" s="50"/>
      <c r="C39" s="50"/>
      <c r="D39" s="51"/>
      <c r="E39" s="51"/>
      <c r="F39" s="51">
        <f t="shared" si="0"/>
        <v>0</v>
      </c>
      <c r="G39" s="51">
        <f t="shared" si="1"/>
        <v>1.3</v>
      </c>
      <c r="H39" s="51">
        <f t="shared" si="2"/>
        <v>6</v>
      </c>
      <c r="I39" s="51">
        <f t="shared" si="3"/>
        <v>0</v>
      </c>
      <c r="J39" s="52">
        <f t="shared" si="4"/>
        <v>0</v>
      </c>
      <c r="K39" s="51">
        <f t="shared" si="5"/>
        <v>0</v>
      </c>
      <c r="L39" s="52">
        <f t="shared" si="6"/>
        <v>0</v>
      </c>
    </row>
    <row r="40" spans="2:12" x14ac:dyDescent="0.2">
      <c r="B40" s="29"/>
      <c r="C40" s="29"/>
      <c r="D40" s="32"/>
      <c r="E40" s="32"/>
      <c r="F40" s="32">
        <f t="shared" si="0"/>
        <v>0</v>
      </c>
      <c r="G40" s="32">
        <f t="shared" si="1"/>
        <v>1.3</v>
      </c>
      <c r="H40" s="32">
        <f t="shared" si="2"/>
        <v>6</v>
      </c>
      <c r="I40" s="32">
        <f t="shared" si="3"/>
        <v>0</v>
      </c>
      <c r="J40" s="46">
        <f t="shared" si="4"/>
        <v>0</v>
      </c>
      <c r="K40" s="32">
        <f t="shared" si="5"/>
        <v>0</v>
      </c>
      <c r="L40" s="46">
        <f t="shared" si="6"/>
        <v>0</v>
      </c>
    </row>
    <row r="41" spans="2:12" x14ac:dyDescent="0.2">
      <c r="B41" s="50"/>
      <c r="C41" s="50"/>
      <c r="D41" s="51"/>
      <c r="E41" s="51"/>
      <c r="F41" s="51">
        <f t="shared" si="0"/>
        <v>0</v>
      </c>
      <c r="G41" s="51">
        <f t="shared" si="1"/>
        <v>1.3</v>
      </c>
      <c r="H41" s="51">
        <f t="shared" si="2"/>
        <v>6</v>
      </c>
      <c r="I41" s="51">
        <f t="shared" si="3"/>
        <v>0</v>
      </c>
      <c r="J41" s="52">
        <f t="shared" si="4"/>
        <v>0</v>
      </c>
      <c r="K41" s="51">
        <f t="shared" si="5"/>
        <v>0</v>
      </c>
      <c r="L41" s="52">
        <f t="shared" si="6"/>
        <v>0</v>
      </c>
    </row>
    <row r="42" spans="2:12" x14ac:dyDescent="0.2">
      <c r="B42" s="29"/>
      <c r="C42" s="29"/>
      <c r="D42" s="32"/>
      <c r="E42" s="32"/>
      <c r="F42" s="32">
        <f t="shared" si="0"/>
        <v>0</v>
      </c>
      <c r="G42" s="32">
        <f t="shared" si="1"/>
        <v>1.3</v>
      </c>
      <c r="H42" s="32">
        <f t="shared" si="2"/>
        <v>6</v>
      </c>
      <c r="I42" s="32">
        <f t="shared" si="3"/>
        <v>0</v>
      </c>
      <c r="J42" s="46">
        <f t="shared" si="4"/>
        <v>0</v>
      </c>
      <c r="K42" s="32">
        <f t="shared" si="5"/>
        <v>0</v>
      </c>
      <c r="L42" s="46">
        <f t="shared" si="6"/>
        <v>0</v>
      </c>
    </row>
    <row r="43" spans="2:12" x14ac:dyDescent="0.2">
      <c r="B43" s="50"/>
      <c r="C43" s="50"/>
      <c r="D43" s="51"/>
      <c r="E43" s="51"/>
      <c r="F43" s="51">
        <f t="shared" si="0"/>
        <v>0</v>
      </c>
      <c r="G43" s="51">
        <f t="shared" si="1"/>
        <v>1.3</v>
      </c>
      <c r="H43" s="51">
        <f t="shared" si="2"/>
        <v>6</v>
      </c>
      <c r="I43" s="51">
        <f t="shared" si="3"/>
        <v>0</v>
      </c>
      <c r="J43" s="52">
        <f t="shared" si="4"/>
        <v>0</v>
      </c>
      <c r="K43" s="51">
        <f t="shared" si="5"/>
        <v>0</v>
      </c>
      <c r="L43" s="52">
        <f t="shared" si="6"/>
        <v>0</v>
      </c>
    </row>
    <row r="44" spans="2:12" x14ac:dyDescent="0.2">
      <c r="B44" s="29"/>
      <c r="C44" s="29"/>
      <c r="D44" s="32"/>
      <c r="E44" s="32"/>
      <c r="F44" s="32">
        <f t="shared" si="0"/>
        <v>0</v>
      </c>
      <c r="G44" s="32">
        <f t="shared" si="1"/>
        <v>1.3</v>
      </c>
      <c r="H44" s="32">
        <f t="shared" si="2"/>
        <v>6</v>
      </c>
      <c r="I44" s="32">
        <f t="shared" si="3"/>
        <v>0</v>
      </c>
      <c r="J44" s="46">
        <f t="shared" si="4"/>
        <v>0</v>
      </c>
      <c r="K44" s="32">
        <f t="shared" si="5"/>
        <v>0</v>
      </c>
      <c r="L44" s="46">
        <f t="shared" si="6"/>
        <v>0</v>
      </c>
    </row>
    <row r="45" spans="2:12" x14ac:dyDescent="0.2">
      <c r="B45" s="50"/>
      <c r="C45" s="50"/>
      <c r="D45" s="51"/>
      <c r="E45" s="51"/>
      <c r="F45" s="51">
        <f t="shared" si="0"/>
        <v>0</v>
      </c>
      <c r="G45" s="51">
        <f t="shared" si="1"/>
        <v>1.3</v>
      </c>
      <c r="H45" s="51">
        <f t="shared" si="2"/>
        <v>6</v>
      </c>
      <c r="I45" s="51">
        <f t="shared" si="3"/>
        <v>0</v>
      </c>
      <c r="J45" s="52">
        <f t="shared" si="4"/>
        <v>0</v>
      </c>
      <c r="K45" s="51">
        <f t="shared" si="5"/>
        <v>0</v>
      </c>
      <c r="L45" s="52">
        <f t="shared" si="6"/>
        <v>0</v>
      </c>
    </row>
    <row r="46" spans="2:12" x14ac:dyDescent="0.2">
      <c r="B46" s="29"/>
      <c r="C46" s="29"/>
      <c r="D46" s="32"/>
      <c r="E46" s="32"/>
      <c r="F46" s="32">
        <f t="shared" si="0"/>
        <v>0</v>
      </c>
      <c r="G46" s="32">
        <f t="shared" si="1"/>
        <v>1.3</v>
      </c>
      <c r="H46" s="32">
        <f t="shared" si="2"/>
        <v>6</v>
      </c>
      <c r="I46" s="32">
        <f t="shared" si="3"/>
        <v>0</v>
      </c>
      <c r="J46" s="46">
        <f t="shared" si="4"/>
        <v>0</v>
      </c>
      <c r="K46" s="32">
        <f t="shared" si="5"/>
        <v>0</v>
      </c>
      <c r="L46" s="46">
        <f t="shared" si="6"/>
        <v>0</v>
      </c>
    </row>
    <row r="47" spans="2:12" x14ac:dyDescent="0.2">
      <c r="B47" s="50"/>
      <c r="C47" s="50"/>
      <c r="D47" s="51"/>
      <c r="E47" s="51"/>
      <c r="F47" s="51">
        <f t="shared" si="0"/>
        <v>0</v>
      </c>
      <c r="G47" s="51">
        <f t="shared" si="1"/>
        <v>1.3</v>
      </c>
      <c r="H47" s="51">
        <f t="shared" si="2"/>
        <v>6</v>
      </c>
      <c r="I47" s="51">
        <f t="shared" si="3"/>
        <v>0</v>
      </c>
      <c r="J47" s="52">
        <f t="shared" si="4"/>
        <v>0</v>
      </c>
      <c r="K47" s="51">
        <f t="shared" si="5"/>
        <v>0</v>
      </c>
      <c r="L47" s="52">
        <f t="shared" si="6"/>
        <v>0</v>
      </c>
    </row>
    <row r="48" spans="2:12" x14ac:dyDescent="0.2">
      <c r="B48" s="29"/>
      <c r="C48" s="29"/>
      <c r="D48" s="32"/>
      <c r="E48" s="32"/>
      <c r="F48" s="32">
        <f t="shared" si="0"/>
        <v>0</v>
      </c>
      <c r="G48" s="32">
        <f t="shared" si="1"/>
        <v>1.3</v>
      </c>
      <c r="H48" s="32">
        <f t="shared" si="2"/>
        <v>6</v>
      </c>
      <c r="I48" s="32">
        <f t="shared" si="3"/>
        <v>0</v>
      </c>
      <c r="J48" s="46">
        <f t="shared" si="4"/>
        <v>0</v>
      </c>
      <c r="K48" s="32">
        <f t="shared" si="5"/>
        <v>0</v>
      </c>
      <c r="L48" s="46">
        <f t="shared" si="6"/>
        <v>0</v>
      </c>
    </row>
    <row r="49" spans="2:12" x14ac:dyDescent="0.2">
      <c r="B49" s="50"/>
      <c r="C49" s="50"/>
      <c r="D49" s="51"/>
      <c r="E49" s="51"/>
      <c r="F49" s="51">
        <f t="shared" si="0"/>
        <v>0</v>
      </c>
      <c r="G49" s="51">
        <f t="shared" si="1"/>
        <v>1.3</v>
      </c>
      <c r="H49" s="51">
        <f t="shared" si="2"/>
        <v>6</v>
      </c>
      <c r="I49" s="51">
        <f t="shared" si="3"/>
        <v>0</v>
      </c>
      <c r="J49" s="52">
        <f t="shared" si="4"/>
        <v>0</v>
      </c>
      <c r="K49" s="51">
        <f t="shared" si="5"/>
        <v>0</v>
      </c>
      <c r="L49" s="52">
        <f t="shared" si="6"/>
        <v>0</v>
      </c>
    </row>
    <row r="50" spans="2:12" x14ac:dyDescent="0.2">
      <c r="B50" s="29"/>
      <c r="C50" s="29"/>
      <c r="D50" s="32"/>
      <c r="E50" s="32"/>
      <c r="F50" s="32">
        <f t="shared" si="0"/>
        <v>0</v>
      </c>
      <c r="G50" s="32">
        <f t="shared" si="1"/>
        <v>1.3</v>
      </c>
      <c r="H50" s="32">
        <f t="shared" si="2"/>
        <v>6</v>
      </c>
      <c r="I50" s="32">
        <f t="shared" si="3"/>
        <v>0</v>
      </c>
      <c r="J50" s="46">
        <f t="shared" si="4"/>
        <v>0</v>
      </c>
      <c r="K50" s="32">
        <f t="shared" si="5"/>
        <v>0</v>
      </c>
      <c r="L50" s="46">
        <f t="shared" si="6"/>
        <v>0</v>
      </c>
    </row>
    <row r="51" spans="2:12" x14ac:dyDescent="0.2">
      <c r="B51" s="50"/>
      <c r="C51" s="50"/>
      <c r="D51" s="51"/>
      <c r="E51" s="51"/>
      <c r="F51" s="51">
        <f t="shared" si="0"/>
        <v>0</v>
      </c>
      <c r="G51" s="51">
        <f t="shared" si="1"/>
        <v>1.3</v>
      </c>
      <c r="H51" s="51">
        <f t="shared" si="2"/>
        <v>6</v>
      </c>
      <c r="I51" s="51">
        <f t="shared" si="3"/>
        <v>0</v>
      </c>
      <c r="J51" s="52">
        <f t="shared" si="4"/>
        <v>0</v>
      </c>
      <c r="K51" s="51">
        <f t="shared" si="5"/>
        <v>0</v>
      </c>
      <c r="L51" s="52">
        <f t="shared" si="6"/>
        <v>0</v>
      </c>
    </row>
    <row r="52" spans="2:12" x14ac:dyDescent="0.2">
      <c r="B52" s="29"/>
      <c r="C52" s="29"/>
      <c r="D52" s="32"/>
      <c r="E52" s="32"/>
      <c r="F52" s="32">
        <f t="shared" si="0"/>
        <v>0</v>
      </c>
      <c r="G52" s="32">
        <f t="shared" si="1"/>
        <v>1.3</v>
      </c>
      <c r="H52" s="32">
        <f t="shared" si="2"/>
        <v>6</v>
      </c>
      <c r="I52" s="32">
        <f t="shared" si="3"/>
        <v>0</v>
      </c>
      <c r="J52" s="46">
        <f t="shared" si="4"/>
        <v>0</v>
      </c>
      <c r="K52" s="32">
        <f t="shared" si="5"/>
        <v>0</v>
      </c>
      <c r="L52" s="46">
        <f t="shared" si="6"/>
        <v>0</v>
      </c>
    </row>
    <row r="53" spans="2:12" x14ac:dyDescent="0.2">
      <c r="B53" s="50"/>
      <c r="C53" s="50"/>
      <c r="D53" s="51"/>
      <c r="E53" s="51"/>
      <c r="F53" s="51">
        <f t="shared" si="0"/>
        <v>0</v>
      </c>
      <c r="G53" s="51">
        <f t="shared" si="1"/>
        <v>1.3</v>
      </c>
      <c r="H53" s="51">
        <f t="shared" si="2"/>
        <v>6</v>
      </c>
      <c r="I53" s="51">
        <f t="shared" si="3"/>
        <v>0</v>
      </c>
      <c r="J53" s="52">
        <f t="shared" si="4"/>
        <v>0</v>
      </c>
      <c r="K53" s="51">
        <f t="shared" si="5"/>
        <v>0</v>
      </c>
      <c r="L53" s="52">
        <f t="shared" si="6"/>
        <v>0</v>
      </c>
    </row>
    <row r="54" spans="2:12" x14ac:dyDescent="0.2">
      <c r="B54" s="29"/>
      <c r="C54" s="29"/>
      <c r="D54" s="32"/>
      <c r="E54" s="32"/>
      <c r="F54" s="32">
        <f t="shared" si="0"/>
        <v>0</v>
      </c>
      <c r="G54" s="32">
        <f t="shared" si="1"/>
        <v>1.3</v>
      </c>
      <c r="H54" s="32">
        <f t="shared" si="2"/>
        <v>6</v>
      </c>
      <c r="I54" s="32">
        <f t="shared" si="3"/>
        <v>0</v>
      </c>
      <c r="J54" s="46">
        <f t="shared" si="4"/>
        <v>0</v>
      </c>
      <c r="K54" s="32">
        <f t="shared" si="5"/>
        <v>0</v>
      </c>
      <c r="L54" s="46">
        <f t="shared" si="6"/>
        <v>0</v>
      </c>
    </row>
    <row r="55" spans="2:12" x14ac:dyDescent="0.2">
      <c r="B55" s="50"/>
      <c r="C55" s="50"/>
      <c r="D55" s="51"/>
      <c r="E55" s="51"/>
      <c r="F55" s="51">
        <f t="shared" si="0"/>
        <v>0</v>
      </c>
      <c r="G55" s="51">
        <f t="shared" si="1"/>
        <v>1.3</v>
      </c>
      <c r="H55" s="51">
        <f t="shared" si="2"/>
        <v>6</v>
      </c>
      <c r="I55" s="51">
        <f t="shared" si="3"/>
        <v>0</v>
      </c>
      <c r="J55" s="52">
        <f t="shared" si="4"/>
        <v>0</v>
      </c>
      <c r="K55" s="51">
        <f t="shared" si="5"/>
        <v>0</v>
      </c>
      <c r="L55" s="52">
        <f t="shared" si="6"/>
        <v>0</v>
      </c>
    </row>
    <row r="56" spans="2:12" x14ac:dyDescent="0.2">
      <c r="B56" s="29"/>
      <c r="C56" s="29"/>
      <c r="D56" s="32"/>
      <c r="E56" s="32"/>
      <c r="F56" s="32">
        <f t="shared" si="0"/>
        <v>0</v>
      </c>
      <c r="G56" s="32">
        <f t="shared" si="1"/>
        <v>1.3</v>
      </c>
      <c r="H56" s="32">
        <f t="shared" si="2"/>
        <v>6</v>
      </c>
      <c r="I56" s="32">
        <f t="shared" si="3"/>
        <v>0</v>
      </c>
      <c r="J56" s="46">
        <f t="shared" si="4"/>
        <v>0</v>
      </c>
      <c r="K56" s="32">
        <f t="shared" si="5"/>
        <v>0</v>
      </c>
      <c r="L56" s="46">
        <f t="shared" si="6"/>
        <v>0</v>
      </c>
    </row>
    <row r="57" spans="2:12" x14ac:dyDescent="0.2">
      <c r="B57" s="50"/>
      <c r="C57" s="50"/>
      <c r="D57" s="51"/>
      <c r="E57" s="51"/>
      <c r="F57" s="51">
        <f t="shared" si="0"/>
        <v>0</v>
      </c>
      <c r="G57" s="51">
        <f t="shared" si="1"/>
        <v>1.3</v>
      </c>
      <c r="H57" s="51">
        <f t="shared" si="2"/>
        <v>6</v>
      </c>
      <c r="I57" s="51">
        <f t="shared" si="3"/>
        <v>0</v>
      </c>
      <c r="J57" s="52">
        <f t="shared" si="4"/>
        <v>0</v>
      </c>
      <c r="K57" s="51">
        <f t="shared" si="5"/>
        <v>0</v>
      </c>
      <c r="L57" s="52">
        <f t="shared" si="6"/>
        <v>0</v>
      </c>
    </row>
    <row r="58" spans="2:12" x14ac:dyDescent="0.2">
      <c r="B58" s="29"/>
      <c r="C58" s="29"/>
      <c r="D58" s="32"/>
      <c r="E58" s="32"/>
      <c r="F58" s="32">
        <f t="shared" si="0"/>
        <v>0</v>
      </c>
      <c r="G58" s="32">
        <f t="shared" si="1"/>
        <v>1.3</v>
      </c>
      <c r="H58" s="32">
        <f t="shared" si="2"/>
        <v>6</v>
      </c>
      <c r="I58" s="32">
        <f t="shared" si="3"/>
        <v>0</v>
      </c>
      <c r="J58" s="46">
        <f t="shared" si="4"/>
        <v>0</v>
      </c>
      <c r="K58" s="32">
        <f t="shared" si="5"/>
        <v>0</v>
      </c>
      <c r="L58" s="46">
        <f t="shared" si="6"/>
        <v>0</v>
      </c>
    </row>
    <row r="59" spans="2:12" x14ac:dyDescent="0.2">
      <c r="B59" s="50"/>
      <c r="C59" s="50"/>
      <c r="D59" s="51"/>
      <c r="E59" s="51"/>
      <c r="F59" s="51">
        <f t="shared" si="0"/>
        <v>0</v>
      </c>
      <c r="G59" s="51">
        <f t="shared" si="1"/>
        <v>1.3</v>
      </c>
      <c r="H59" s="51">
        <f t="shared" si="2"/>
        <v>6</v>
      </c>
      <c r="I59" s="51">
        <f t="shared" si="3"/>
        <v>0</v>
      </c>
      <c r="J59" s="52">
        <f t="shared" si="4"/>
        <v>0</v>
      </c>
      <c r="K59" s="51">
        <f t="shared" si="5"/>
        <v>0</v>
      </c>
      <c r="L59" s="52">
        <f t="shared" si="6"/>
        <v>0</v>
      </c>
    </row>
    <row r="60" spans="2:12" x14ac:dyDescent="0.2">
      <c r="B60" s="29"/>
      <c r="C60" s="29"/>
      <c r="D60" s="32"/>
      <c r="E60" s="32"/>
      <c r="F60" s="32">
        <f t="shared" si="0"/>
        <v>0</v>
      </c>
      <c r="G60" s="32">
        <f t="shared" si="1"/>
        <v>1.3</v>
      </c>
      <c r="H60" s="32">
        <f t="shared" si="2"/>
        <v>6</v>
      </c>
      <c r="I60" s="32">
        <f t="shared" si="3"/>
        <v>0</v>
      </c>
      <c r="J60" s="46">
        <f t="shared" si="4"/>
        <v>0</v>
      </c>
      <c r="K60" s="32">
        <f t="shared" si="5"/>
        <v>0</v>
      </c>
      <c r="L60" s="46">
        <f t="shared" si="6"/>
        <v>0</v>
      </c>
    </row>
    <row r="61" spans="2:12" x14ac:dyDescent="0.2">
      <c r="B61" s="50"/>
      <c r="C61" s="50"/>
      <c r="D61" s="51"/>
      <c r="E61" s="51"/>
      <c r="F61" s="51">
        <f t="shared" si="0"/>
        <v>0</v>
      </c>
      <c r="G61" s="51">
        <f t="shared" si="1"/>
        <v>1.3</v>
      </c>
      <c r="H61" s="51">
        <f t="shared" si="2"/>
        <v>6</v>
      </c>
      <c r="I61" s="51">
        <f t="shared" si="3"/>
        <v>0</v>
      </c>
      <c r="J61" s="52">
        <f t="shared" si="4"/>
        <v>0</v>
      </c>
      <c r="K61" s="51">
        <f t="shared" si="5"/>
        <v>0</v>
      </c>
      <c r="L61" s="52">
        <f t="shared" si="6"/>
        <v>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3"/>
  <sheetViews>
    <sheetView workbookViewId="0">
      <selection activeCell="M18" sqref="M18"/>
    </sheetView>
  </sheetViews>
  <sheetFormatPr baseColWidth="10" defaultColWidth="11.1640625" defaultRowHeight="16" x14ac:dyDescent="0.2"/>
  <cols>
    <col min="2" max="2" width="24.33203125" customWidth="1"/>
    <col min="3" max="3" width="17.83203125" customWidth="1"/>
  </cols>
  <sheetData>
    <row r="1" spans="1:3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1"/>
      <c r="B3" s="1"/>
      <c r="C3" s="8"/>
      <c r="D3" s="8">
        <v>1</v>
      </c>
      <c r="E3" s="8">
        <f t="shared" ref="E3:AA3" si="0">1+D3</f>
        <v>2</v>
      </c>
      <c r="F3" s="8">
        <f t="shared" si="0"/>
        <v>3</v>
      </c>
      <c r="G3" s="8">
        <f t="shared" si="0"/>
        <v>4</v>
      </c>
      <c r="H3" s="8">
        <f t="shared" si="0"/>
        <v>5</v>
      </c>
      <c r="I3" s="8">
        <f t="shared" si="0"/>
        <v>6</v>
      </c>
      <c r="J3" s="8">
        <f t="shared" si="0"/>
        <v>7</v>
      </c>
      <c r="K3" s="8">
        <f t="shared" si="0"/>
        <v>8</v>
      </c>
      <c r="L3" s="8">
        <f t="shared" si="0"/>
        <v>9</v>
      </c>
      <c r="M3" s="8">
        <f t="shared" si="0"/>
        <v>10</v>
      </c>
      <c r="N3" s="8">
        <f t="shared" si="0"/>
        <v>11</v>
      </c>
      <c r="O3" s="8">
        <f t="shared" si="0"/>
        <v>12</v>
      </c>
      <c r="P3" s="8">
        <f t="shared" si="0"/>
        <v>13</v>
      </c>
      <c r="Q3" s="8">
        <f t="shared" si="0"/>
        <v>14</v>
      </c>
      <c r="R3" s="8">
        <f t="shared" si="0"/>
        <v>15</v>
      </c>
      <c r="S3" s="8">
        <f t="shared" si="0"/>
        <v>16</v>
      </c>
      <c r="T3" s="8">
        <f t="shared" si="0"/>
        <v>17</v>
      </c>
      <c r="U3" s="8">
        <f t="shared" si="0"/>
        <v>18</v>
      </c>
      <c r="V3" s="8">
        <f t="shared" si="0"/>
        <v>19</v>
      </c>
      <c r="W3" s="8">
        <f t="shared" si="0"/>
        <v>20</v>
      </c>
      <c r="X3" s="8">
        <f t="shared" si="0"/>
        <v>21</v>
      </c>
      <c r="Y3" s="8">
        <f t="shared" si="0"/>
        <v>22</v>
      </c>
      <c r="Z3" s="8">
        <f t="shared" si="0"/>
        <v>23</v>
      </c>
      <c r="AA3" s="8">
        <f t="shared" si="0"/>
        <v>24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1"/>
      <c r="B4" s="1"/>
      <c r="C4" s="33" t="s">
        <v>20</v>
      </c>
      <c r="D4" s="34"/>
      <c r="E4" s="35" t="s">
        <v>21</v>
      </c>
      <c r="F4" s="36"/>
      <c r="G4" s="37"/>
      <c r="H4" s="35" t="s">
        <v>22</v>
      </c>
      <c r="I4" s="37"/>
      <c r="J4" s="34"/>
      <c r="K4" s="35" t="s">
        <v>23</v>
      </c>
      <c r="L4" s="36"/>
      <c r="M4" s="37"/>
      <c r="N4" s="35" t="s">
        <v>24</v>
      </c>
      <c r="O4" s="36"/>
      <c r="P4" s="37"/>
      <c r="Q4" s="35" t="s">
        <v>25</v>
      </c>
      <c r="R4" s="36"/>
      <c r="S4" s="37"/>
      <c r="T4" s="35" t="s">
        <v>26</v>
      </c>
      <c r="U4" s="36"/>
      <c r="V4" s="37"/>
      <c r="W4" s="35" t="s">
        <v>27</v>
      </c>
      <c r="X4" s="36"/>
      <c r="Y4" s="37"/>
      <c r="Z4" s="35" t="s">
        <v>28</v>
      </c>
      <c r="AA4" s="38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1"/>
      <c r="B5" s="1"/>
      <c r="C5" s="33"/>
      <c r="D5" s="39" t="s">
        <v>29</v>
      </c>
      <c r="E5" s="40" t="s">
        <v>30</v>
      </c>
      <c r="F5" s="40" t="s">
        <v>31</v>
      </c>
      <c r="G5" s="39" t="s">
        <v>32</v>
      </c>
      <c r="H5" s="40" t="s">
        <v>33</v>
      </c>
      <c r="I5" s="40" t="s">
        <v>34</v>
      </c>
      <c r="J5" s="39" t="s">
        <v>35</v>
      </c>
      <c r="K5" s="40" t="s">
        <v>36</v>
      </c>
      <c r="L5" s="40" t="s">
        <v>37</v>
      </c>
      <c r="M5" s="39" t="s">
        <v>38</v>
      </c>
      <c r="N5" s="40" t="s">
        <v>39</v>
      </c>
      <c r="O5" s="40" t="s">
        <v>40</v>
      </c>
      <c r="P5" s="39" t="s">
        <v>29</v>
      </c>
      <c r="Q5" s="40" t="s">
        <v>30</v>
      </c>
      <c r="R5" s="40" t="s">
        <v>31</v>
      </c>
      <c r="S5" s="39" t="s">
        <v>32</v>
      </c>
      <c r="T5" s="40" t="s">
        <v>33</v>
      </c>
      <c r="U5" s="40" t="s">
        <v>34</v>
      </c>
      <c r="V5" s="39" t="s">
        <v>35</v>
      </c>
      <c r="W5" s="40" t="s">
        <v>36</v>
      </c>
      <c r="X5" s="40" t="s">
        <v>37</v>
      </c>
      <c r="Y5" s="39" t="s">
        <v>38</v>
      </c>
      <c r="Z5" s="40" t="s">
        <v>39</v>
      </c>
      <c r="AA5" s="40" t="s">
        <v>40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9" t="s">
        <v>41</v>
      </c>
      <c r="C6" s="10">
        <f t="shared" ref="C6:C17" si="1">SUM(D6:AA6)</f>
        <v>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" t="s">
        <v>42</v>
      </c>
      <c r="C7" s="11">
        <f t="shared" si="1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1" t="s">
        <v>43</v>
      </c>
      <c r="C8" s="11">
        <f t="shared" si="1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" t="s">
        <v>44</v>
      </c>
      <c r="C9" s="11">
        <f t="shared" si="1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1" t="s">
        <v>45</v>
      </c>
      <c r="C10" s="11">
        <f t="shared" si="1"/>
        <v>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" t="s">
        <v>46</v>
      </c>
      <c r="C11" s="11">
        <f t="shared" si="1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1" t="s">
        <v>47</v>
      </c>
      <c r="C12" s="11">
        <f t="shared" si="1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" t="s">
        <v>48</v>
      </c>
      <c r="C13" s="11">
        <f t="shared" si="1"/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1" t="s">
        <v>49</v>
      </c>
      <c r="C14" s="11">
        <f t="shared" si="1"/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" t="s">
        <v>16</v>
      </c>
      <c r="C15" s="11">
        <f t="shared" si="1"/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9" t="s">
        <v>50</v>
      </c>
      <c r="C16" s="10">
        <f t="shared" si="1"/>
        <v>0</v>
      </c>
      <c r="D16" s="10">
        <f>IFERROR(SUM(D7:D15),0)</f>
        <v>0</v>
      </c>
      <c r="E16" s="10">
        <f t="shared" ref="E16:AA16" si="2">IFERROR(SUM(E7:E15),0)</f>
        <v>0</v>
      </c>
      <c r="F16" s="10">
        <f t="shared" si="2"/>
        <v>0</v>
      </c>
      <c r="G16" s="10">
        <f t="shared" si="2"/>
        <v>0</v>
      </c>
      <c r="H16" s="10">
        <f t="shared" si="2"/>
        <v>0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  <c r="Q16" s="10">
        <f t="shared" si="2"/>
        <v>0</v>
      </c>
      <c r="R16" s="10">
        <f t="shared" si="2"/>
        <v>0</v>
      </c>
      <c r="S16" s="10">
        <f t="shared" si="2"/>
        <v>0</v>
      </c>
      <c r="T16" s="10">
        <f t="shared" si="2"/>
        <v>0</v>
      </c>
      <c r="U16" s="10">
        <f t="shared" si="2"/>
        <v>0</v>
      </c>
      <c r="V16" s="10">
        <f t="shared" si="2"/>
        <v>0</v>
      </c>
      <c r="W16" s="10">
        <f t="shared" si="2"/>
        <v>0</v>
      </c>
      <c r="X16" s="10">
        <f t="shared" si="2"/>
        <v>0</v>
      </c>
      <c r="Y16" s="10">
        <f t="shared" si="2"/>
        <v>0</v>
      </c>
      <c r="Z16" s="10">
        <f t="shared" si="2"/>
        <v>0</v>
      </c>
      <c r="AA16" s="10">
        <f t="shared" si="2"/>
        <v>0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9" t="s">
        <v>51</v>
      </c>
      <c r="C17" s="10">
        <f t="shared" si="1"/>
        <v>0</v>
      </c>
      <c r="D17" s="10">
        <f>D6-D16</f>
        <v>0</v>
      </c>
      <c r="E17" s="10">
        <f t="shared" ref="E17:AA17" si="3">E6-E16</f>
        <v>0</v>
      </c>
      <c r="F17" s="10">
        <f t="shared" si="3"/>
        <v>0</v>
      </c>
      <c r="G17" s="10">
        <f t="shared" si="3"/>
        <v>0</v>
      </c>
      <c r="H17" s="10">
        <f t="shared" si="3"/>
        <v>0</v>
      </c>
      <c r="I17" s="10">
        <f t="shared" si="3"/>
        <v>0</v>
      </c>
      <c r="J17" s="10">
        <f t="shared" si="3"/>
        <v>0</v>
      </c>
      <c r="K17" s="10">
        <f t="shared" si="3"/>
        <v>0</v>
      </c>
      <c r="L17" s="10">
        <f t="shared" si="3"/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  <c r="Q17" s="10">
        <f t="shared" si="3"/>
        <v>0</v>
      </c>
      <c r="R17" s="10">
        <f t="shared" si="3"/>
        <v>0</v>
      </c>
      <c r="S17" s="10">
        <f t="shared" si="3"/>
        <v>0</v>
      </c>
      <c r="T17" s="10">
        <f t="shared" si="3"/>
        <v>0</v>
      </c>
      <c r="U17" s="10">
        <f t="shared" si="3"/>
        <v>0</v>
      </c>
      <c r="V17" s="10">
        <f t="shared" si="3"/>
        <v>0</v>
      </c>
      <c r="W17" s="10">
        <f t="shared" si="3"/>
        <v>0</v>
      </c>
      <c r="X17" s="10">
        <f t="shared" si="3"/>
        <v>0</v>
      </c>
      <c r="Y17" s="10">
        <f t="shared" si="3"/>
        <v>0</v>
      </c>
      <c r="Z17" s="10">
        <f t="shared" si="3"/>
        <v>0</v>
      </c>
      <c r="AA17" s="10">
        <f t="shared" si="3"/>
        <v>0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2" t="s">
        <v>52</v>
      </c>
      <c r="C18" s="13">
        <f>IFERROR(C17/C6,0)</f>
        <v>0</v>
      </c>
      <c r="D18" s="13">
        <f>IFERROR(D17/D6,0)</f>
        <v>0</v>
      </c>
      <c r="E18" s="13">
        <f t="shared" ref="E18:AA18" si="4">IFERROR(E17/E6,0)</f>
        <v>0</v>
      </c>
      <c r="F18" s="13">
        <f t="shared" si="4"/>
        <v>0</v>
      </c>
      <c r="G18" s="13">
        <f t="shared" si="4"/>
        <v>0</v>
      </c>
      <c r="H18" s="13">
        <f t="shared" si="4"/>
        <v>0</v>
      </c>
      <c r="I18" s="13">
        <f t="shared" si="4"/>
        <v>0</v>
      </c>
      <c r="J18" s="13">
        <f t="shared" si="4"/>
        <v>0</v>
      </c>
      <c r="K18" s="13">
        <f t="shared" si="4"/>
        <v>0</v>
      </c>
      <c r="L18" s="13">
        <f t="shared" si="4"/>
        <v>0</v>
      </c>
      <c r="M18" s="13">
        <f t="shared" si="4"/>
        <v>0</v>
      </c>
      <c r="N18" s="13">
        <f t="shared" si="4"/>
        <v>0</v>
      </c>
      <c r="O18" s="13">
        <f t="shared" si="4"/>
        <v>0</v>
      </c>
      <c r="P18" s="13">
        <f t="shared" si="4"/>
        <v>0</v>
      </c>
      <c r="Q18" s="13">
        <f t="shared" si="4"/>
        <v>0</v>
      </c>
      <c r="R18" s="13">
        <f t="shared" si="4"/>
        <v>0</v>
      </c>
      <c r="S18" s="13">
        <f t="shared" si="4"/>
        <v>0</v>
      </c>
      <c r="T18" s="13">
        <f t="shared" si="4"/>
        <v>0</v>
      </c>
      <c r="U18" s="13">
        <f t="shared" si="4"/>
        <v>0</v>
      </c>
      <c r="V18" s="13">
        <f t="shared" si="4"/>
        <v>0</v>
      </c>
      <c r="W18" s="13">
        <f t="shared" si="4"/>
        <v>0</v>
      </c>
      <c r="X18" s="13">
        <f t="shared" si="4"/>
        <v>0</v>
      </c>
      <c r="Y18" s="13">
        <f t="shared" si="4"/>
        <v>0</v>
      </c>
      <c r="Z18" s="13">
        <f t="shared" si="4"/>
        <v>0</v>
      </c>
      <c r="AA18" s="13">
        <f t="shared" si="4"/>
        <v>0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 t="s">
        <v>53</v>
      </c>
      <c r="C20" s="11">
        <f t="shared" ref="C20:C26" si="5">SUM(D20:AA20)</f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 t="s">
        <v>54</v>
      </c>
      <c r="C21" s="11">
        <f t="shared" si="5"/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 t="s">
        <v>55</v>
      </c>
      <c r="C22" s="11">
        <f t="shared" si="5"/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 t="s">
        <v>56</v>
      </c>
      <c r="C23" s="11">
        <f t="shared" si="5"/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 t="s">
        <v>57</v>
      </c>
      <c r="C24" s="11">
        <f t="shared" si="5"/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9" t="s">
        <v>58</v>
      </c>
      <c r="C25" s="10">
        <f t="shared" si="5"/>
        <v>0</v>
      </c>
      <c r="D25" s="10">
        <f>SUM(D20:D24)</f>
        <v>0</v>
      </c>
      <c r="E25" s="10">
        <f t="shared" ref="E25:AA25" si="6">SUM(E20:E24)</f>
        <v>0</v>
      </c>
      <c r="F25" s="10">
        <f t="shared" si="6"/>
        <v>0</v>
      </c>
      <c r="G25" s="10">
        <f t="shared" si="6"/>
        <v>0</v>
      </c>
      <c r="H25" s="10">
        <f t="shared" si="6"/>
        <v>0</v>
      </c>
      <c r="I25" s="10">
        <f t="shared" si="6"/>
        <v>0</v>
      </c>
      <c r="J25" s="10">
        <f t="shared" si="6"/>
        <v>0</v>
      </c>
      <c r="K25" s="10">
        <f t="shared" si="6"/>
        <v>0</v>
      </c>
      <c r="L25" s="10">
        <f t="shared" si="6"/>
        <v>0</v>
      </c>
      <c r="M25" s="10">
        <f t="shared" si="6"/>
        <v>0</v>
      </c>
      <c r="N25" s="10">
        <f t="shared" si="6"/>
        <v>0</v>
      </c>
      <c r="O25" s="10">
        <f t="shared" si="6"/>
        <v>0</v>
      </c>
      <c r="P25" s="10">
        <f t="shared" si="6"/>
        <v>0</v>
      </c>
      <c r="Q25" s="10">
        <f t="shared" si="6"/>
        <v>0</v>
      </c>
      <c r="R25" s="10">
        <f t="shared" si="6"/>
        <v>0</v>
      </c>
      <c r="S25" s="10">
        <f t="shared" si="6"/>
        <v>0</v>
      </c>
      <c r="T25" s="10">
        <f t="shared" si="6"/>
        <v>0</v>
      </c>
      <c r="U25" s="10">
        <f t="shared" si="6"/>
        <v>0</v>
      </c>
      <c r="V25" s="10">
        <f t="shared" si="6"/>
        <v>0</v>
      </c>
      <c r="W25" s="10">
        <f t="shared" si="6"/>
        <v>0</v>
      </c>
      <c r="X25" s="10">
        <f t="shared" si="6"/>
        <v>0</v>
      </c>
      <c r="Y25" s="10">
        <f t="shared" si="6"/>
        <v>0</v>
      </c>
      <c r="Z25" s="10">
        <f t="shared" si="6"/>
        <v>0</v>
      </c>
      <c r="AA25" s="10">
        <f t="shared" si="6"/>
        <v>0</v>
      </c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9" t="s">
        <v>59</v>
      </c>
      <c r="C26" s="10">
        <f t="shared" si="5"/>
        <v>0</v>
      </c>
      <c r="D26" s="14">
        <f>D17-D25</f>
        <v>0</v>
      </c>
      <c r="E26" s="14">
        <f t="shared" ref="E26:AA26" si="7">E17-E25</f>
        <v>0</v>
      </c>
      <c r="F26" s="14">
        <f t="shared" si="7"/>
        <v>0</v>
      </c>
      <c r="G26" s="14">
        <f t="shared" si="7"/>
        <v>0</v>
      </c>
      <c r="H26" s="14">
        <f t="shared" si="7"/>
        <v>0</v>
      </c>
      <c r="I26" s="14">
        <f t="shared" si="7"/>
        <v>0</v>
      </c>
      <c r="J26" s="14">
        <f t="shared" si="7"/>
        <v>0</v>
      </c>
      <c r="K26" s="14">
        <f t="shared" si="7"/>
        <v>0</v>
      </c>
      <c r="L26" s="14">
        <f t="shared" si="7"/>
        <v>0</v>
      </c>
      <c r="M26" s="14">
        <f t="shared" si="7"/>
        <v>0</v>
      </c>
      <c r="N26" s="14">
        <f t="shared" si="7"/>
        <v>0</v>
      </c>
      <c r="O26" s="14">
        <f t="shared" si="7"/>
        <v>0</v>
      </c>
      <c r="P26" s="14">
        <f t="shared" si="7"/>
        <v>0</v>
      </c>
      <c r="Q26" s="14">
        <f t="shared" si="7"/>
        <v>0</v>
      </c>
      <c r="R26" s="14">
        <f t="shared" si="7"/>
        <v>0</v>
      </c>
      <c r="S26" s="14">
        <f t="shared" si="7"/>
        <v>0</v>
      </c>
      <c r="T26" s="14">
        <f t="shared" si="7"/>
        <v>0</v>
      </c>
      <c r="U26" s="14">
        <f t="shared" si="7"/>
        <v>0</v>
      </c>
      <c r="V26" s="14">
        <f t="shared" si="7"/>
        <v>0</v>
      </c>
      <c r="W26" s="14">
        <f t="shared" si="7"/>
        <v>0</v>
      </c>
      <c r="X26" s="14">
        <f t="shared" si="7"/>
        <v>0</v>
      </c>
      <c r="Y26" s="14">
        <f t="shared" si="7"/>
        <v>0</v>
      </c>
      <c r="Z26" s="14">
        <f t="shared" si="7"/>
        <v>0</v>
      </c>
      <c r="AA26" s="14">
        <f t="shared" si="7"/>
        <v>0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2" t="s">
        <v>60</v>
      </c>
      <c r="C27" s="15">
        <f>IFERROR(C26/C6,0)</f>
        <v>0</v>
      </c>
      <c r="D27" s="15">
        <f t="shared" ref="D27:AA27" si="8">IFERROR(D26/D6,0)</f>
        <v>0</v>
      </c>
      <c r="E27" s="15">
        <f t="shared" si="8"/>
        <v>0</v>
      </c>
      <c r="F27" s="15">
        <f t="shared" si="8"/>
        <v>0</v>
      </c>
      <c r="G27" s="15">
        <f t="shared" si="8"/>
        <v>0</v>
      </c>
      <c r="H27" s="15">
        <f t="shared" si="8"/>
        <v>0</v>
      </c>
      <c r="I27" s="15">
        <f t="shared" si="8"/>
        <v>0</v>
      </c>
      <c r="J27" s="15">
        <f t="shared" si="8"/>
        <v>0</v>
      </c>
      <c r="K27" s="15">
        <f t="shared" si="8"/>
        <v>0</v>
      </c>
      <c r="L27" s="15">
        <f t="shared" si="8"/>
        <v>0</v>
      </c>
      <c r="M27" s="15">
        <f t="shared" si="8"/>
        <v>0</v>
      </c>
      <c r="N27" s="15">
        <f t="shared" si="8"/>
        <v>0</v>
      </c>
      <c r="O27" s="15">
        <f t="shared" si="8"/>
        <v>0</v>
      </c>
      <c r="P27" s="15">
        <f t="shared" si="8"/>
        <v>0</v>
      </c>
      <c r="Q27" s="15">
        <f t="shared" si="8"/>
        <v>0</v>
      </c>
      <c r="R27" s="15">
        <f t="shared" si="8"/>
        <v>0</v>
      </c>
      <c r="S27" s="15">
        <f t="shared" si="8"/>
        <v>0</v>
      </c>
      <c r="T27" s="15">
        <f t="shared" si="8"/>
        <v>0</v>
      </c>
      <c r="U27" s="15">
        <f t="shared" si="8"/>
        <v>0</v>
      </c>
      <c r="V27" s="15">
        <f t="shared" si="8"/>
        <v>0</v>
      </c>
      <c r="W27" s="15">
        <f t="shared" si="8"/>
        <v>0</v>
      </c>
      <c r="X27" s="15">
        <f t="shared" si="8"/>
        <v>0</v>
      </c>
      <c r="Y27" s="15">
        <f t="shared" si="8"/>
        <v>0</v>
      </c>
      <c r="Z27" s="15">
        <f t="shared" si="8"/>
        <v>0</v>
      </c>
      <c r="AA27" s="15">
        <f t="shared" si="8"/>
        <v>0</v>
      </c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pageMargins left="0.7" right="0.7" top="0.75" bottom="0.75" header="0.3" footer="0.3"/>
  <ignoredErrors>
    <ignoredError sqref="C16:C17 C25:C2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3"/>
  <sheetViews>
    <sheetView workbookViewId="0">
      <selection activeCell="D8" sqref="D8"/>
    </sheetView>
  </sheetViews>
  <sheetFormatPr baseColWidth="10" defaultColWidth="11.1640625" defaultRowHeight="16" x14ac:dyDescent="0.2"/>
  <cols>
    <col min="2" max="2" width="24.33203125" customWidth="1"/>
    <col min="3" max="3" width="17.83203125" customWidth="1"/>
    <col min="5" max="5" width="11.83203125" bestFit="1" customWidth="1"/>
    <col min="6" max="6" width="17.1640625" customWidth="1"/>
  </cols>
  <sheetData>
    <row r="1" spans="1:3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1"/>
      <c r="B2" s="54" t="s">
        <v>61</v>
      </c>
      <c r="C2" s="54"/>
      <c r="D2" s="1"/>
      <c r="E2" s="54" t="s">
        <v>62</v>
      </c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1"/>
      <c r="B3" s="16" t="s">
        <v>63</v>
      </c>
      <c r="C3" s="16" t="s">
        <v>64</v>
      </c>
      <c r="D3" s="1"/>
      <c r="E3" s="16" t="s">
        <v>366</v>
      </c>
      <c r="F3" s="16" t="s">
        <v>65</v>
      </c>
      <c r="G3" s="16" t="s">
        <v>66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1"/>
      <c r="B4" s="29" t="s">
        <v>67</v>
      </c>
      <c r="C4" s="30"/>
      <c r="D4" s="1"/>
      <c r="E4" s="29" t="s">
        <v>49</v>
      </c>
      <c r="F4" s="31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1"/>
      <c r="B5" s="17" t="s">
        <v>68</v>
      </c>
      <c r="C5" s="18"/>
      <c r="D5" s="1"/>
      <c r="E5" s="17" t="s">
        <v>9</v>
      </c>
      <c r="F5" s="19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29"/>
      <c r="C6" s="30"/>
      <c r="D6" s="1"/>
      <c r="E6" s="29" t="s">
        <v>47</v>
      </c>
      <c r="F6" s="31"/>
      <c r="G6" s="3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7"/>
      <c r="C7" s="18"/>
      <c r="D7" s="1"/>
      <c r="E7" s="17" t="s">
        <v>367</v>
      </c>
      <c r="F7" s="19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29"/>
      <c r="C8" s="30"/>
      <c r="D8" s="1"/>
      <c r="E8" s="29"/>
      <c r="F8" s="31"/>
      <c r="G8" s="3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7"/>
      <c r="C9" s="18"/>
      <c r="D9" s="1"/>
      <c r="E9" s="17"/>
      <c r="F9" s="19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29"/>
      <c r="C10" s="30"/>
      <c r="D10" s="1"/>
      <c r="E10" s="29"/>
      <c r="F10" s="31"/>
      <c r="G10" s="3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7"/>
      <c r="C11" s="18"/>
      <c r="D11" s="1"/>
      <c r="E11" s="17"/>
      <c r="F11" s="19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29"/>
      <c r="C12" s="30"/>
      <c r="D12" s="1"/>
      <c r="E12" s="29"/>
      <c r="F12" s="31"/>
      <c r="G12" s="3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7"/>
      <c r="C13" s="18"/>
      <c r="D13" s="1"/>
      <c r="E13" s="17"/>
      <c r="F13" s="19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29"/>
      <c r="C14" s="30"/>
      <c r="D14" s="1"/>
      <c r="E14" s="29"/>
      <c r="F14" s="31"/>
      <c r="G14" s="3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7"/>
      <c r="C15" s="18"/>
      <c r="D15" s="1"/>
      <c r="E15" s="17"/>
      <c r="F15" s="19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29"/>
      <c r="C16" s="30"/>
      <c r="D16" s="1"/>
      <c r="E16" s="29"/>
      <c r="F16" s="31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20" t="s">
        <v>69</v>
      </c>
      <c r="C17" s="21">
        <f>SUM(C4:C16)</f>
        <v>0</v>
      </c>
      <c r="D17" s="1"/>
      <c r="E17" s="20" t="s">
        <v>69</v>
      </c>
      <c r="F17" s="21"/>
      <c r="G17" s="21">
        <f>SUM(G4:G16)</f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mergeCells count="2">
    <mergeCell ref="B2:C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5"/>
  <sheetViews>
    <sheetView tabSelected="1" zoomScale="102" workbookViewId="0">
      <selection activeCell="D7" sqref="D7"/>
    </sheetView>
  </sheetViews>
  <sheetFormatPr baseColWidth="10" defaultColWidth="11.1640625" defaultRowHeight="16" x14ac:dyDescent="0.2"/>
  <cols>
    <col min="2" max="2" width="36" style="26" customWidth="1"/>
    <col min="3" max="3" width="54.6640625" style="26" customWidth="1"/>
    <col min="4" max="4" width="48.6640625" style="26" bestFit="1" customWidth="1"/>
  </cols>
  <sheetData>
    <row r="1" spans="1:14" x14ac:dyDescent="0.2">
      <c r="A1" s="1"/>
      <c r="B1" s="23"/>
      <c r="C1" s="23"/>
      <c r="D1" s="23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24" t="s">
        <v>9</v>
      </c>
      <c r="C2" s="24" t="s">
        <v>70</v>
      </c>
      <c r="D2" s="24" t="s">
        <v>71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47" t="s">
        <v>19</v>
      </c>
      <c r="C3" s="47" t="s">
        <v>276</v>
      </c>
      <c r="D3" s="47" t="s">
        <v>277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48" t="s">
        <v>290</v>
      </c>
      <c r="C4" s="47" t="s">
        <v>291</v>
      </c>
      <c r="D4" s="47" t="s">
        <v>361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48" t="s">
        <v>358</v>
      </c>
      <c r="C5" s="47" t="s">
        <v>359</v>
      </c>
      <c r="D5" s="47" t="s">
        <v>363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/>
      <c r="B6" s="48" t="s">
        <v>369</v>
      </c>
      <c r="C6" s="47" t="s">
        <v>373</v>
      </c>
      <c r="D6" s="47" t="s">
        <v>374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48" t="s">
        <v>370</v>
      </c>
      <c r="C7" s="47" t="s">
        <v>371</v>
      </c>
      <c r="D7" s="47" t="s">
        <v>372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/>
      <c r="B8" s="47" t="s">
        <v>357</v>
      </c>
      <c r="C8" s="47" t="s">
        <v>226</v>
      </c>
      <c r="D8" s="47" t="s">
        <v>365</v>
      </c>
      <c r="E8" s="1" t="s">
        <v>368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"/>
      <c r="B9" s="47" t="s">
        <v>176</v>
      </c>
      <c r="C9" s="47" t="s">
        <v>360</v>
      </c>
      <c r="D9" s="47" t="s">
        <v>177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1"/>
      <c r="B10" s="48" t="s">
        <v>190</v>
      </c>
      <c r="C10" s="47" t="s">
        <v>191</v>
      </c>
      <c r="D10" s="47" t="s">
        <v>364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/>
      <c r="B11" s="47" t="s">
        <v>164</v>
      </c>
      <c r="C11" s="47" t="s">
        <v>165</v>
      </c>
      <c r="D11" s="47" t="s">
        <v>166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/>
      <c r="B12" s="48" t="s">
        <v>188</v>
      </c>
      <c r="C12" s="47" t="s">
        <v>189</v>
      </c>
      <c r="D12" s="47" t="s">
        <v>362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" customHeight="1" x14ac:dyDescent="0.2">
      <c r="A13" s="1"/>
      <c r="B13" s="49" t="s">
        <v>72</v>
      </c>
      <c r="C13" s="22" t="s">
        <v>73</v>
      </c>
      <c r="D13" s="22" t="s">
        <v>74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" customHeight="1" x14ac:dyDescent="0.2">
      <c r="A14" s="1"/>
      <c r="B14" s="25" t="s">
        <v>75</v>
      </c>
      <c r="C14" s="25" t="s">
        <v>76</v>
      </c>
      <c r="D14" s="25" t="s">
        <v>77</v>
      </c>
      <c r="E14" s="1"/>
      <c r="F14" s="1"/>
      <c r="G14" s="28"/>
      <c r="H14" s="1"/>
      <c r="I14" s="1"/>
      <c r="J14" s="1"/>
      <c r="K14" s="1"/>
      <c r="L14" s="1"/>
      <c r="M14" s="1"/>
      <c r="N14" s="1"/>
    </row>
    <row r="15" spans="1:14" ht="16" customHeight="1" x14ac:dyDescent="0.2">
      <c r="A15" s="1"/>
      <c r="B15" s="49" t="s">
        <v>78</v>
      </c>
      <c r="C15" s="22" t="s">
        <v>79</v>
      </c>
      <c r="D15" s="22" t="s">
        <v>80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6" customHeight="1" x14ac:dyDescent="0.2">
      <c r="A16" s="1"/>
      <c r="B16" s="25" t="s">
        <v>81</v>
      </c>
      <c r="C16" s="25" t="s">
        <v>82</v>
      </c>
      <c r="D16" s="25" t="s">
        <v>83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" customHeight="1" x14ac:dyDescent="0.2">
      <c r="A17" s="1"/>
      <c r="B17" s="49" t="s">
        <v>84</v>
      </c>
      <c r="C17" s="22" t="s">
        <v>85</v>
      </c>
      <c r="D17" s="22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" customHeight="1" x14ac:dyDescent="0.2">
      <c r="A18" s="1"/>
      <c r="B18" s="25" t="s">
        <v>87</v>
      </c>
      <c r="C18" s="25" t="s">
        <v>88</v>
      </c>
      <c r="D18" s="25" t="s">
        <v>89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" customHeight="1" x14ac:dyDescent="0.2">
      <c r="A19" s="1"/>
      <c r="B19" s="49" t="s">
        <v>90</v>
      </c>
      <c r="C19" s="22" t="s">
        <v>91</v>
      </c>
      <c r="D19" s="22" t="s">
        <v>92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" customHeight="1" x14ac:dyDescent="0.2">
      <c r="A20" s="1"/>
      <c r="B20" s="25" t="s">
        <v>93</v>
      </c>
      <c r="C20" s="25" t="s">
        <v>94</v>
      </c>
      <c r="D20" s="25" t="s">
        <v>95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" customHeight="1" x14ac:dyDescent="0.2">
      <c r="A21" s="1"/>
      <c r="B21" s="49" t="s">
        <v>96</v>
      </c>
      <c r="C21" s="22" t="s">
        <v>97</v>
      </c>
      <c r="D21" s="22" t="s">
        <v>341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" customHeight="1" x14ac:dyDescent="0.2">
      <c r="A22" s="1"/>
      <c r="B22" s="25" t="s">
        <v>98</v>
      </c>
      <c r="C22" s="25" t="s">
        <v>99</v>
      </c>
      <c r="D22" s="25" t="s">
        <v>340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" customHeight="1" x14ac:dyDescent="0.2">
      <c r="A23" s="1"/>
      <c r="B23" s="49" t="s">
        <v>100</v>
      </c>
      <c r="C23" s="22" t="s">
        <v>101</v>
      </c>
      <c r="D23" s="22" t="s">
        <v>102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" customHeight="1" x14ac:dyDescent="0.2">
      <c r="A24" s="1"/>
      <c r="B24" s="25" t="s">
        <v>103</v>
      </c>
      <c r="C24" s="25" t="s">
        <v>104</v>
      </c>
      <c r="D24" s="25" t="s">
        <v>105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" customHeight="1" x14ac:dyDescent="0.2">
      <c r="A25" s="1"/>
      <c r="B25" s="49" t="s">
        <v>106</v>
      </c>
      <c r="C25" s="22" t="s">
        <v>107</v>
      </c>
      <c r="D25" s="22" t="s">
        <v>340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" customHeight="1" x14ac:dyDescent="0.2">
      <c r="A26" s="1"/>
      <c r="B26" s="25" t="s">
        <v>109</v>
      </c>
      <c r="C26" s="25" t="s">
        <v>342</v>
      </c>
      <c r="D26" s="25" t="s">
        <v>110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" customHeight="1" x14ac:dyDescent="0.2">
      <c r="A27" s="1"/>
      <c r="B27" s="49" t="s">
        <v>111</v>
      </c>
      <c r="C27" s="22" t="s">
        <v>112</v>
      </c>
      <c r="D27" s="22" t="s">
        <v>113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" customHeight="1" x14ac:dyDescent="0.2">
      <c r="A28" s="1"/>
      <c r="B28" s="25" t="s">
        <v>356</v>
      </c>
      <c r="C28" s="25" t="s">
        <v>114</v>
      </c>
      <c r="D28" s="25" t="s">
        <v>115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" customHeight="1" x14ac:dyDescent="0.2">
      <c r="A29" s="1"/>
      <c r="B29" s="49" t="s">
        <v>116</v>
      </c>
      <c r="C29" s="22" t="s">
        <v>117</v>
      </c>
      <c r="D29" s="22" t="s">
        <v>89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" customHeight="1" x14ac:dyDescent="0.2">
      <c r="A30" s="1"/>
      <c r="B30" s="25" t="s">
        <v>118</v>
      </c>
      <c r="C30" s="25" t="s">
        <v>119</v>
      </c>
      <c r="D30" s="25" t="s">
        <v>120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" customHeight="1" x14ac:dyDescent="0.2">
      <c r="A31" s="1"/>
      <c r="B31" s="49" t="s">
        <v>121</v>
      </c>
      <c r="C31" s="22" t="s">
        <v>122</v>
      </c>
      <c r="D31" s="22" t="s">
        <v>123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" customHeight="1" x14ac:dyDescent="0.2">
      <c r="A32" s="1"/>
      <c r="B32" s="25" t="s">
        <v>124</v>
      </c>
      <c r="C32" s="25" t="s">
        <v>125</v>
      </c>
      <c r="D32" s="25" t="s">
        <v>126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6" customHeight="1" x14ac:dyDescent="0.2">
      <c r="A33" s="1"/>
      <c r="B33" s="49" t="s">
        <v>127</v>
      </c>
      <c r="C33" s="22" t="s">
        <v>128</v>
      </c>
      <c r="D33" s="22" t="s">
        <v>129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6" customHeight="1" x14ac:dyDescent="0.2">
      <c r="A34" s="1"/>
      <c r="B34" s="25" t="s">
        <v>130</v>
      </c>
      <c r="C34" s="25" t="s">
        <v>131</v>
      </c>
      <c r="D34" s="25" t="s">
        <v>132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6" customHeight="1" x14ac:dyDescent="0.2">
      <c r="A35" s="1"/>
      <c r="B35" s="49" t="s">
        <v>133</v>
      </c>
      <c r="C35" s="22" t="s">
        <v>134</v>
      </c>
      <c r="D35" s="22" t="s">
        <v>135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6" customHeight="1" x14ac:dyDescent="0.2">
      <c r="A36" s="1"/>
      <c r="B36" s="25" t="s">
        <v>136</v>
      </c>
      <c r="C36" s="25" t="s">
        <v>137</v>
      </c>
      <c r="D36" s="25" t="s">
        <v>138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6" customHeight="1" x14ac:dyDescent="0.2">
      <c r="A37" s="1"/>
      <c r="B37" s="49" t="s">
        <v>139</v>
      </c>
      <c r="C37" s="22" t="s">
        <v>140</v>
      </c>
      <c r="D37" s="22" t="s">
        <v>141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6" customHeight="1" x14ac:dyDescent="0.2">
      <c r="A38" s="1"/>
      <c r="B38" s="25" t="s">
        <v>142</v>
      </c>
      <c r="C38" s="25" t="s">
        <v>343</v>
      </c>
      <c r="D38" s="25" t="s">
        <v>143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6" customHeight="1" x14ac:dyDescent="0.2">
      <c r="A39" s="1"/>
      <c r="B39" s="49" t="s">
        <v>144</v>
      </c>
      <c r="C39" s="22" t="s">
        <v>145</v>
      </c>
      <c r="D39" s="22" t="s">
        <v>146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6" customHeight="1" x14ac:dyDescent="0.2">
      <c r="A40" s="1"/>
      <c r="B40" s="25" t="s">
        <v>147</v>
      </c>
      <c r="C40" s="25" t="s">
        <v>148</v>
      </c>
      <c r="D40" s="25" t="s">
        <v>149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6" customHeight="1" x14ac:dyDescent="0.2">
      <c r="A41" s="1"/>
      <c r="B41" s="49" t="s">
        <v>150</v>
      </c>
      <c r="C41" s="22" t="s">
        <v>151</v>
      </c>
      <c r="D41" s="22" t="s">
        <v>152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6" customHeight="1" x14ac:dyDescent="0.2">
      <c r="A42" s="1"/>
      <c r="B42" s="25" t="s">
        <v>153</v>
      </c>
      <c r="C42" s="25"/>
      <c r="D42" s="25" t="s">
        <v>89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" customHeight="1" x14ac:dyDescent="0.2">
      <c r="A43" s="1"/>
      <c r="B43" s="49" t="s">
        <v>155</v>
      </c>
      <c r="C43" s="22" t="s">
        <v>156</v>
      </c>
      <c r="D43" s="22" t="s">
        <v>157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" customHeight="1" x14ac:dyDescent="0.2">
      <c r="A44" s="1"/>
      <c r="B44" s="25" t="s">
        <v>158</v>
      </c>
      <c r="C44" s="25" t="s">
        <v>159</v>
      </c>
      <c r="D44" s="25" t="s">
        <v>160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" customHeight="1" x14ac:dyDescent="0.2">
      <c r="A45" s="1"/>
      <c r="B45" s="49" t="s">
        <v>161</v>
      </c>
      <c r="C45" s="22" t="s">
        <v>162</v>
      </c>
      <c r="D45" s="22" t="s">
        <v>163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" customHeight="1" x14ac:dyDescent="0.2">
      <c r="A46" s="1"/>
      <c r="B46" s="25" t="s">
        <v>167</v>
      </c>
      <c r="C46" s="25" t="s">
        <v>168</v>
      </c>
      <c r="D46" s="25" t="s">
        <v>89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6" customHeight="1" x14ac:dyDescent="0.2">
      <c r="A47" s="1"/>
      <c r="B47" s="49" t="s">
        <v>169</v>
      </c>
      <c r="C47" s="22" t="s">
        <v>170</v>
      </c>
      <c r="D47" s="22" t="s">
        <v>171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" customHeight="1" x14ac:dyDescent="0.2">
      <c r="A48" s="1"/>
      <c r="B48" s="25" t="s">
        <v>172</v>
      </c>
      <c r="C48" s="25" t="s">
        <v>154</v>
      </c>
      <c r="D48" s="25" t="s">
        <v>108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6" customHeight="1" x14ac:dyDescent="0.2">
      <c r="A49" s="1"/>
      <c r="B49" s="49" t="s">
        <v>173</v>
      </c>
      <c r="C49" s="22" t="s">
        <v>174</v>
      </c>
      <c r="D49" s="22" t="s">
        <v>175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6" customHeight="1" x14ac:dyDescent="0.2">
      <c r="A50" s="1"/>
      <c r="B50" s="25" t="s">
        <v>178</v>
      </c>
      <c r="C50" s="25" t="s">
        <v>179</v>
      </c>
      <c r="D50" s="25" t="s">
        <v>180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6" customHeight="1" x14ac:dyDescent="0.2">
      <c r="A51" s="1"/>
      <c r="B51" s="49" t="s">
        <v>181</v>
      </c>
      <c r="C51" s="22" t="s">
        <v>182</v>
      </c>
      <c r="D51" s="22" t="s">
        <v>108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6" customHeight="1" x14ac:dyDescent="0.2">
      <c r="A52" s="1"/>
      <c r="B52" s="25" t="s">
        <v>183</v>
      </c>
      <c r="C52" s="25" t="s">
        <v>184</v>
      </c>
      <c r="D52" s="25" t="s">
        <v>185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6" customHeight="1" x14ac:dyDescent="0.2">
      <c r="A53" s="1"/>
      <c r="B53" s="49" t="s">
        <v>186</v>
      </c>
      <c r="C53" s="22" t="s">
        <v>340</v>
      </c>
      <c r="D53" s="22" t="s">
        <v>187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6" customHeight="1" x14ac:dyDescent="0.2">
      <c r="A54" s="1"/>
      <c r="B54" s="25" t="s">
        <v>192</v>
      </c>
      <c r="C54" s="25" t="s">
        <v>193</v>
      </c>
      <c r="D54" s="25" t="s">
        <v>194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6" customHeight="1" x14ac:dyDescent="0.2">
      <c r="A55" s="1"/>
      <c r="B55" s="49" t="s">
        <v>195</v>
      </c>
      <c r="C55" s="22" t="s">
        <v>196</v>
      </c>
      <c r="D55" s="22" t="s">
        <v>197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6" customHeight="1" x14ac:dyDescent="0.2">
      <c r="A56" s="1"/>
      <c r="B56" s="25" t="s">
        <v>198</v>
      </c>
      <c r="C56" s="25" t="s">
        <v>199</v>
      </c>
      <c r="D56" s="25" t="s">
        <v>200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6" customHeight="1" x14ac:dyDescent="0.2">
      <c r="A57" s="1"/>
      <c r="B57" s="49" t="s">
        <v>201</v>
      </c>
      <c r="C57" s="22" t="s">
        <v>202</v>
      </c>
      <c r="D57" s="22" t="s">
        <v>108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6" customHeight="1" x14ac:dyDescent="0.2">
      <c r="A58" s="1"/>
      <c r="B58" s="25" t="s">
        <v>203</v>
      </c>
      <c r="C58" s="25" t="s">
        <v>204</v>
      </c>
      <c r="D58" s="25" t="s">
        <v>205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6" customHeight="1" x14ac:dyDescent="0.2">
      <c r="A59" s="1"/>
      <c r="B59" s="49" t="s">
        <v>206</v>
      </c>
      <c r="C59" s="22" t="s">
        <v>207</v>
      </c>
      <c r="D59" s="22" t="s">
        <v>208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6" customHeight="1" x14ac:dyDescent="0.2">
      <c r="A60" s="1"/>
      <c r="B60" s="25" t="s">
        <v>209</v>
      </c>
      <c r="C60" s="25" t="s">
        <v>210</v>
      </c>
      <c r="D60" s="25" t="s">
        <v>211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6" customHeight="1" x14ac:dyDescent="0.2">
      <c r="A61" s="1"/>
      <c r="B61" s="49" t="s">
        <v>212</v>
      </c>
      <c r="C61" s="22" t="s">
        <v>344</v>
      </c>
      <c r="D61" s="22" t="s">
        <v>213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6" customHeight="1" x14ac:dyDescent="0.2">
      <c r="A62" s="1"/>
      <c r="B62" s="25" t="s">
        <v>214</v>
      </c>
      <c r="C62" s="25" t="s">
        <v>215</v>
      </c>
      <c r="D62" s="25" t="s">
        <v>216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6" customHeight="1" x14ac:dyDescent="0.2">
      <c r="A63" s="1"/>
      <c r="B63" s="49" t="s">
        <v>217</v>
      </c>
      <c r="C63" s="22" t="s">
        <v>218</v>
      </c>
      <c r="D63" s="22" t="s">
        <v>219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6" customHeight="1" x14ac:dyDescent="0.2">
      <c r="A64" s="1"/>
      <c r="B64" s="25" t="s">
        <v>220</v>
      </c>
      <c r="C64" s="25" t="s">
        <v>221</v>
      </c>
      <c r="D64" s="25" t="s">
        <v>222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6" customHeight="1" x14ac:dyDescent="0.2">
      <c r="A65" s="1"/>
      <c r="B65" s="49" t="s">
        <v>223</v>
      </c>
      <c r="C65" s="22" t="s">
        <v>224</v>
      </c>
      <c r="D65" s="22" t="s">
        <v>225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6" customHeight="1" x14ac:dyDescent="0.2">
      <c r="A66" s="1"/>
      <c r="B66" s="25" t="s">
        <v>227</v>
      </c>
      <c r="C66" s="25" t="s">
        <v>228</v>
      </c>
      <c r="D66" s="25" t="s">
        <v>229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49" t="s">
        <v>230</v>
      </c>
      <c r="C67" s="22" t="s">
        <v>231</v>
      </c>
      <c r="D67" s="22" t="s">
        <v>86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5" t="s">
        <v>232</v>
      </c>
      <c r="C68" s="25" t="s">
        <v>233</v>
      </c>
      <c r="D68" s="25" t="s">
        <v>234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1"/>
      <c r="B69" s="49" t="s">
        <v>235</v>
      </c>
      <c r="C69" s="22" t="s">
        <v>236</v>
      </c>
      <c r="D69" s="22" t="s">
        <v>237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1"/>
      <c r="B70" s="25" t="s">
        <v>238</v>
      </c>
      <c r="C70" s="25" t="s">
        <v>345</v>
      </c>
      <c r="D70" s="25" t="s">
        <v>239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1"/>
      <c r="B71" s="49" t="s">
        <v>240</v>
      </c>
      <c r="C71" s="22" t="s">
        <v>241</v>
      </c>
      <c r="D71" s="22" t="s">
        <v>242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1"/>
      <c r="B72" s="25" t="s">
        <v>244</v>
      </c>
      <c r="C72" s="25" t="s">
        <v>245</v>
      </c>
      <c r="D72" s="25" t="s">
        <v>108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1"/>
      <c r="B73" s="49" t="s">
        <v>246</v>
      </c>
      <c r="C73" s="22" t="s">
        <v>247</v>
      </c>
      <c r="D73" s="22" t="s">
        <v>248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1"/>
      <c r="B74" s="25" t="s">
        <v>249</v>
      </c>
      <c r="C74" s="25" t="s">
        <v>346</v>
      </c>
      <c r="D74" s="25" t="s">
        <v>250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49" t="s">
        <v>251</v>
      </c>
      <c r="C75" s="22" t="s">
        <v>347</v>
      </c>
      <c r="D75" s="22" t="s">
        <v>252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1"/>
      <c r="B76" s="25" t="s">
        <v>253</v>
      </c>
      <c r="C76" s="25" t="s">
        <v>243</v>
      </c>
      <c r="D76" s="25" t="s">
        <v>86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1"/>
      <c r="B77" s="49" t="s">
        <v>254</v>
      </c>
      <c r="C77" s="22" t="s">
        <v>255</v>
      </c>
      <c r="D77" s="22" t="s">
        <v>256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1"/>
      <c r="B78" s="25" t="s">
        <v>257</v>
      </c>
      <c r="C78" s="25" t="s">
        <v>348</v>
      </c>
      <c r="D78" s="25" t="s">
        <v>340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1"/>
      <c r="B79" s="49" t="s">
        <v>258</v>
      </c>
      <c r="C79" s="22" t="s">
        <v>259</v>
      </c>
      <c r="D79" s="22" t="s">
        <v>89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B80" s="25" t="s">
        <v>260</v>
      </c>
      <c r="C80" s="25" t="s">
        <v>349</v>
      </c>
      <c r="D80" s="25" t="s">
        <v>340</v>
      </c>
      <c r="E80" s="1"/>
      <c r="F80" s="1"/>
      <c r="J80" s="1"/>
      <c r="K80" s="1"/>
      <c r="L80" s="1"/>
      <c r="M80" s="1"/>
      <c r="N80" s="1"/>
    </row>
    <row r="81" spans="2:6" x14ac:dyDescent="0.2">
      <c r="B81" s="49" t="s">
        <v>261</v>
      </c>
      <c r="C81" s="22" t="s">
        <v>350</v>
      </c>
      <c r="D81" s="22" t="s">
        <v>340</v>
      </c>
      <c r="E81" s="1"/>
      <c r="F81" s="1"/>
    </row>
    <row r="82" spans="2:6" x14ac:dyDescent="0.2">
      <c r="B82" s="25" t="s">
        <v>262</v>
      </c>
      <c r="C82" s="25" t="s">
        <v>263</v>
      </c>
      <c r="D82" s="25" t="s">
        <v>340</v>
      </c>
      <c r="E82" s="1"/>
      <c r="F82" s="1"/>
    </row>
    <row r="83" spans="2:6" x14ac:dyDescent="0.2">
      <c r="B83" s="49" t="s">
        <v>264</v>
      </c>
      <c r="C83" s="22" t="s">
        <v>265</v>
      </c>
      <c r="D83" s="22" t="s">
        <v>266</v>
      </c>
      <c r="E83" s="1"/>
      <c r="F83" s="1"/>
    </row>
    <row r="84" spans="2:6" x14ac:dyDescent="0.2">
      <c r="B84" s="25" t="s">
        <v>267</v>
      </c>
      <c r="C84" s="25" t="s">
        <v>268</v>
      </c>
      <c r="D84" s="25" t="s">
        <v>269</v>
      </c>
      <c r="E84" s="1"/>
      <c r="F84" s="1"/>
    </row>
    <row r="85" spans="2:6" x14ac:dyDescent="0.2">
      <c r="B85" s="49" t="s">
        <v>270</v>
      </c>
      <c r="C85" s="22" t="s">
        <v>271</v>
      </c>
      <c r="D85" s="22" t="s">
        <v>86</v>
      </c>
      <c r="E85" s="1"/>
      <c r="F85" s="1"/>
    </row>
    <row r="86" spans="2:6" x14ac:dyDescent="0.2">
      <c r="B86" s="25" t="s">
        <v>272</v>
      </c>
      <c r="C86" s="25" t="s">
        <v>351</v>
      </c>
      <c r="D86" s="25" t="s">
        <v>340</v>
      </c>
      <c r="E86" s="1"/>
      <c r="F86" s="1"/>
    </row>
    <row r="87" spans="2:6" x14ac:dyDescent="0.2">
      <c r="B87" s="49" t="s">
        <v>273</v>
      </c>
      <c r="C87" s="22" t="s">
        <v>274</v>
      </c>
      <c r="D87" s="22" t="s">
        <v>275</v>
      </c>
      <c r="E87" s="1"/>
      <c r="F87" s="1"/>
    </row>
    <row r="88" spans="2:6" x14ac:dyDescent="0.2">
      <c r="B88" s="25" t="s">
        <v>278</v>
      </c>
      <c r="C88" s="25" t="s">
        <v>279</v>
      </c>
      <c r="D88" s="25" t="s">
        <v>280</v>
      </c>
      <c r="E88" s="1"/>
      <c r="F88" s="1"/>
    </row>
    <row r="89" spans="2:6" x14ac:dyDescent="0.2">
      <c r="B89" s="49" t="s">
        <v>281</v>
      </c>
      <c r="C89" s="22" t="s">
        <v>282</v>
      </c>
      <c r="D89" s="22" t="s">
        <v>283</v>
      </c>
      <c r="E89" s="1"/>
      <c r="F89" s="1"/>
    </row>
    <row r="90" spans="2:6" x14ac:dyDescent="0.2">
      <c r="B90" s="25" t="s">
        <v>284</v>
      </c>
      <c r="C90" s="25" t="s">
        <v>285</v>
      </c>
      <c r="D90" s="25" t="s">
        <v>286</v>
      </c>
      <c r="E90" s="1"/>
      <c r="F90" s="1"/>
    </row>
    <row r="91" spans="2:6" x14ac:dyDescent="0.2">
      <c r="B91" s="49" t="s">
        <v>287</v>
      </c>
      <c r="C91" s="22" t="s">
        <v>288</v>
      </c>
      <c r="D91" s="22" t="s">
        <v>289</v>
      </c>
      <c r="E91" s="1"/>
      <c r="F91" s="1"/>
    </row>
    <row r="92" spans="2:6" x14ac:dyDescent="0.2">
      <c r="B92" s="25" t="s">
        <v>292</v>
      </c>
      <c r="C92" s="25" t="s">
        <v>293</v>
      </c>
      <c r="D92" s="25" t="s">
        <v>294</v>
      </c>
      <c r="E92" s="1"/>
      <c r="F92" s="1"/>
    </row>
    <row r="93" spans="2:6" x14ac:dyDescent="0.2">
      <c r="B93" s="49" t="s">
        <v>295</v>
      </c>
      <c r="C93" s="22" t="s">
        <v>296</v>
      </c>
      <c r="D93" s="22" t="s">
        <v>86</v>
      </c>
      <c r="E93" s="1"/>
      <c r="F93" s="1"/>
    </row>
    <row r="94" spans="2:6" x14ac:dyDescent="0.2">
      <c r="B94" s="25" t="s">
        <v>297</v>
      </c>
      <c r="C94" s="25" t="s">
        <v>298</v>
      </c>
      <c r="D94" s="25" t="s">
        <v>299</v>
      </c>
      <c r="E94" s="1"/>
      <c r="F94" s="1"/>
    </row>
    <row r="95" spans="2:6" x14ac:dyDescent="0.2">
      <c r="B95" s="49" t="s">
        <v>300</v>
      </c>
      <c r="C95" s="22" t="s">
        <v>301</v>
      </c>
      <c r="D95" s="22" t="s">
        <v>108</v>
      </c>
    </row>
    <row r="96" spans="2:6" x14ac:dyDescent="0.2">
      <c r="B96" s="25" t="s">
        <v>302</v>
      </c>
      <c r="C96" s="25" t="s">
        <v>303</v>
      </c>
      <c r="D96" s="25" t="s">
        <v>108</v>
      </c>
    </row>
    <row r="97" spans="2:4" x14ac:dyDescent="0.2">
      <c r="B97" s="49" t="s">
        <v>304</v>
      </c>
      <c r="C97" s="22" t="s">
        <v>352</v>
      </c>
      <c r="D97" s="22" t="s">
        <v>305</v>
      </c>
    </row>
    <row r="98" spans="2:4" x14ac:dyDescent="0.2">
      <c r="B98" s="25" t="s">
        <v>306</v>
      </c>
      <c r="C98" s="25" t="s">
        <v>307</v>
      </c>
      <c r="D98" s="25" t="s">
        <v>308</v>
      </c>
    </row>
    <row r="99" spans="2:4" x14ac:dyDescent="0.2">
      <c r="B99" s="49" t="s">
        <v>309</v>
      </c>
      <c r="C99" s="22" t="s">
        <v>353</v>
      </c>
      <c r="D99" s="22" t="s">
        <v>340</v>
      </c>
    </row>
    <row r="100" spans="2:4" x14ac:dyDescent="0.2">
      <c r="B100" s="25" t="s">
        <v>310</v>
      </c>
      <c r="C100" s="25" t="s">
        <v>354</v>
      </c>
      <c r="D100" s="25" t="s">
        <v>340</v>
      </c>
    </row>
    <row r="101" spans="2:4" x14ac:dyDescent="0.2">
      <c r="B101" s="49" t="s">
        <v>311</v>
      </c>
      <c r="C101" s="22" t="s">
        <v>312</v>
      </c>
      <c r="D101" s="22" t="s">
        <v>340</v>
      </c>
    </row>
    <row r="102" spans="2:4" x14ac:dyDescent="0.2">
      <c r="B102" s="25" t="s">
        <v>313</v>
      </c>
      <c r="C102" s="25" t="s">
        <v>314</v>
      </c>
      <c r="D102" s="25" t="s">
        <v>315</v>
      </c>
    </row>
    <row r="103" spans="2:4" x14ac:dyDescent="0.2">
      <c r="B103" s="49" t="s">
        <v>316</v>
      </c>
      <c r="C103" s="22" t="s">
        <v>355</v>
      </c>
      <c r="D103" s="22" t="s">
        <v>340</v>
      </c>
    </row>
    <row r="104" spans="2:4" x14ac:dyDescent="0.2">
      <c r="B104" s="25" t="s">
        <v>317</v>
      </c>
      <c r="C104" s="25" t="s">
        <v>318</v>
      </c>
      <c r="D104" s="25" t="s">
        <v>108</v>
      </c>
    </row>
    <row r="105" spans="2:4" x14ac:dyDescent="0.2">
      <c r="B105" s="49" t="s">
        <v>319</v>
      </c>
      <c r="C105" s="22" t="s">
        <v>320</v>
      </c>
      <c r="D105" s="22" t="s">
        <v>108</v>
      </c>
    </row>
    <row r="106" spans="2:4" x14ac:dyDescent="0.2">
      <c r="B106" s="25" t="s">
        <v>321</v>
      </c>
      <c r="C106" s="25" t="s">
        <v>322</v>
      </c>
      <c r="D106" s="25" t="s">
        <v>323</v>
      </c>
    </row>
    <row r="107" spans="2:4" x14ac:dyDescent="0.2">
      <c r="B107" s="49" t="s">
        <v>324</v>
      </c>
      <c r="C107" s="22" t="s">
        <v>325</v>
      </c>
      <c r="D107" s="22" t="s">
        <v>326</v>
      </c>
    </row>
    <row r="108" spans="2:4" x14ac:dyDescent="0.2">
      <c r="B108" s="25" t="s">
        <v>327</v>
      </c>
      <c r="C108" s="25" t="s">
        <v>328</v>
      </c>
      <c r="D108" s="25" t="s">
        <v>329</v>
      </c>
    </row>
    <row r="109" spans="2:4" x14ac:dyDescent="0.2">
      <c r="B109" s="49" t="s">
        <v>330</v>
      </c>
      <c r="C109" s="22" t="s">
        <v>331</v>
      </c>
      <c r="D109" s="22" t="s">
        <v>108</v>
      </c>
    </row>
    <row r="110" spans="2:4" x14ac:dyDescent="0.2">
      <c r="B110" s="25" t="s">
        <v>332</v>
      </c>
      <c r="C110" s="25" t="s">
        <v>333</v>
      </c>
      <c r="D110" s="25" t="s">
        <v>86</v>
      </c>
    </row>
    <row r="111" spans="2:4" x14ac:dyDescent="0.2">
      <c r="B111" s="49" t="s">
        <v>334</v>
      </c>
      <c r="C111" s="22" t="s">
        <v>335</v>
      </c>
      <c r="D111" s="22" t="s">
        <v>336</v>
      </c>
    </row>
    <row r="112" spans="2:4" x14ac:dyDescent="0.2">
      <c r="B112" s="25" t="s">
        <v>337</v>
      </c>
      <c r="C112" s="25" t="s">
        <v>338</v>
      </c>
      <c r="D112" s="25" t="s">
        <v>339</v>
      </c>
    </row>
    <row r="115" spans="2:2" x14ac:dyDescent="0.2">
      <c r="B115" s="27"/>
    </row>
  </sheetData>
  <hyperlinks>
    <hyperlink ref="C9" r:id="rId1" xr:uid="{277CB062-8E32-054B-B056-10D8086E4CDF}"/>
    <hyperlink ref="C8" r:id="rId2" xr:uid="{7D6209F1-B3F6-2B4E-8E5F-C8DA649511E9}"/>
    <hyperlink ref="C10" r:id="rId3" xr:uid="{1F67FE4C-47C3-3449-BC32-E70237D80DEC}"/>
    <hyperlink ref="C12" r:id="rId4" xr:uid="{BA6659AB-3F47-404E-9EED-FAA46C94BC12}"/>
    <hyperlink ref="C11" r:id="rId5" xr:uid="{FF0782EC-7874-9E47-BD3A-4F77F1946F00}"/>
    <hyperlink ref="C5" r:id="rId6" xr:uid="{7A9F2D5E-3FDC-5249-A666-D8B8BFDBE56E}"/>
    <hyperlink ref="C7" r:id="rId7" xr:uid="{D3859E8E-9552-F94C-BA43-8E5C078171D8}"/>
    <hyperlink ref="C6" r:id="rId8" xr:uid="{C3E5C0A8-FEC9-5947-B88F-EF6FEB8D3BA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Mineração</vt:lpstr>
      <vt:lpstr>DRE</vt:lpstr>
      <vt:lpstr>Fluxo de Caixa</vt:lpstr>
      <vt:lpstr>Lista de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 gabriel</dc:creator>
  <cp:lastModifiedBy>contatogustavo.forza@gmail.com</cp:lastModifiedBy>
  <dcterms:created xsi:type="dcterms:W3CDTF">2026-09-10T12:58:09Z</dcterms:created>
  <dcterms:modified xsi:type="dcterms:W3CDTF">2026-09-14T16:51:38Z</dcterms:modified>
</cp:coreProperties>
</file>